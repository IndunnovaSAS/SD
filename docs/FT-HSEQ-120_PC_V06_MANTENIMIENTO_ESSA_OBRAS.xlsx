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sdsasnet-my.sharepoint.com/personal/hseq_sdsas_net/Documents/SGI 2025/1.PROCESOS DE LA ORGANIZACION/1.Procesos_estrategico/2.Gestión_integral_SD_SAS/1.SST/1.Planear/07.Plan_de_capacitaciones/2026/"/>
    </mc:Choice>
  </mc:AlternateContent>
  <xr:revisionPtr revIDLastSave="1225" documentId="13_ncr:1_{65D4B045-BBC8-4152-BFE8-DE6988541D4D}" xr6:coauthVersionLast="47" xr6:coauthVersionMax="47" xr10:uidLastSave="{5DE757A6-20A7-4752-A725-4B9E32FA6F02}"/>
  <bookViews>
    <workbookView xWindow="-120" yWindow="-120" windowWidth="29040" windowHeight="15720" activeTab="2" xr2:uid="{00000000-000D-0000-FFFF-FFFF00000000}"/>
  </bookViews>
  <sheets>
    <sheet name="DASHBOARD" sheetId="11" r:id="rId1"/>
    <sheet name="planeado inicial" sheetId="12" state="hidden" r:id="rId2"/>
    <sheet name="PLAN CAP" sheetId="7" r:id="rId3"/>
    <sheet name="m1" sheetId="3" state="hidden" r:id="rId4"/>
    <sheet name="VALD" sheetId="5" state="hidden" r:id="rId5"/>
    <sheet name="VALID_2" sheetId="9" state="hidden" r:id="rId6"/>
  </sheets>
  <definedNames>
    <definedName name="_xlnm._FilterDatabase" localSheetId="3" hidden="1">'m1'!#REF!</definedName>
    <definedName name="_xlnm._FilterDatabase" localSheetId="2" hidden="1">'PLAN CAP'!#REF!</definedName>
    <definedName name="_xlnm.Print_Area" localSheetId="0">DASHBOARD!$A$1:$AC$59</definedName>
    <definedName name="_xlnm.Print_Area" localSheetId="2">'PLAN CAP'!$A$1:$AH$53</definedName>
    <definedName name="SegmentaciónDeDatos_FACTOR_DE_RIESGO_PROGRAMA">#N/A</definedName>
    <definedName name="SegmentaciónDeDatos_RESPONSABLES">#N/A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20" i="7" l="1"/>
  <c r="Z16" i="7"/>
  <c r="Z12" i="7"/>
  <c r="S22" i="11" l="1"/>
  <c r="T22" i="11"/>
  <c r="U22" i="11"/>
  <c r="V22" i="11"/>
  <c r="W22" i="11"/>
  <c r="X22" i="11"/>
  <c r="Y22" i="11"/>
  <c r="Z22" i="11"/>
  <c r="Z20" i="11"/>
  <c r="Z21" i="11"/>
  <c r="Y20" i="11"/>
  <c r="Y21" i="11"/>
  <c r="V21" i="11"/>
  <c r="P20" i="11"/>
  <c r="O21" i="11"/>
  <c r="P21" i="11"/>
  <c r="Q21" i="11"/>
  <c r="R21" i="11"/>
  <c r="S21" i="11"/>
  <c r="T21" i="11"/>
  <c r="W21" i="11"/>
  <c r="X21" i="11"/>
  <c r="O20" i="11"/>
  <c r="Q20" i="11"/>
  <c r="R20" i="11"/>
  <c r="S20" i="11"/>
  <c r="T20" i="11"/>
  <c r="V20" i="11"/>
  <c r="W20" i="11"/>
  <c r="X20" i="11"/>
  <c r="O22" i="11"/>
  <c r="P22" i="11"/>
  <c r="Q22" i="11"/>
  <c r="R22" i="11"/>
  <c r="U21" i="11"/>
  <c r="U20" i="11"/>
  <c r="Z53" i="7"/>
  <c r="O24" i="11" l="1"/>
  <c r="Z23" i="7"/>
  <c r="Z30" i="7"/>
  <c r="Z31" i="7"/>
  <c r="Z36" i="7"/>
  <c r="Z49" i="7"/>
  <c r="Z29" i="7"/>
  <c r="Z24" i="7"/>
  <c r="Z50" i="7"/>
  <c r="Z48" i="7"/>
  <c r="Z46" i="7"/>
  <c r="Z45" i="7"/>
  <c r="Z27" i="7"/>
  <c r="Z22" i="7"/>
  <c r="Z47" i="7"/>
  <c r="Z35" i="7"/>
  <c r="Z28" i="7"/>
  <c r="Z34" i="7"/>
  <c r="Z51" i="7"/>
  <c r="Z43" i="7"/>
  <c r="Z42" i="7"/>
  <c r="Z41" i="7"/>
  <c r="Z40" i="7"/>
  <c r="Z39" i="7"/>
  <c r="Z38" i="7"/>
  <c r="Z37" i="7"/>
  <c r="Z32" i="7"/>
  <c r="Z26" i="7"/>
  <c r="Z19" i="7"/>
  <c r="Z10" i="7"/>
  <c r="Z21" i="7"/>
  <c r="Z9" i="7"/>
  <c r="Z15" i="7"/>
  <c r="Z13" i="7"/>
  <c r="Z17" i="7"/>
  <c r="Z18" i="7"/>
  <c r="Z25" i="7"/>
  <c r="Z6" i="7"/>
  <c r="Z7" i="7"/>
  <c r="Z8" i="7"/>
  <c r="Z11" i="7"/>
  <c r="Z5" i="7"/>
  <c r="Z14" i="7"/>
  <c r="Z44" i="7"/>
  <c r="Z33" i="7"/>
  <c r="Z52" i="7"/>
  <c r="J2" i="3"/>
  <c r="J3"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4" i="3"/>
  <c r="J5"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AA22" i="11" l="1"/>
  <c r="X24" i="11"/>
  <c r="W24" i="11"/>
  <c r="Z24" i="11"/>
  <c r="R24" i="11"/>
  <c r="Y24" i="11"/>
  <c r="V24" i="11"/>
  <c r="P24" i="11"/>
  <c r="T24" i="11"/>
  <c r="AA21" i="11"/>
  <c r="U24" i="11"/>
  <c r="AA20" i="11"/>
  <c r="S24" i="11"/>
  <c r="Q24" i="11"/>
  <c r="AA24" i="11" l="1"/>
  <c r="AB24" i="11" s="1"/>
</calcChain>
</file>

<file path=xl/sharedStrings.xml><?xml version="1.0" encoding="utf-8"?>
<sst xmlns="http://schemas.openxmlformats.org/spreadsheetml/2006/main" count="1193" uniqueCount="536">
  <si>
    <t>Año</t>
  </si>
  <si>
    <t>Proyecto</t>
  </si>
  <si>
    <t>ENE</t>
  </si>
  <si>
    <t>FEB</t>
  </si>
  <si>
    <t>MAR</t>
  </si>
  <si>
    <t>ABR</t>
  </si>
  <si>
    <t>MAY</t>
  </si>
  <si>
    <t>JUN</t>
  </si>
  <si>
    <t>JUL</t>
  </si>
  <si>
    <t>AGO</t>
  </si>
  <si>
    <t>SEP</t>
  </si>
  <si>
    <t>OCT</t>
  </si>
  <si>
    <t>NOV</t>
  </si>
  <si>
    <t>DIC</t>
  </si>
  <si>
    <t>TOTAL</t>
  </si>
  <si>
    <t>META</t>
  </si>
  <si>
    <t>PLANEADAS</t>
  </si>
  <si>
    <t xml:space="preserve">EJECUTADAS </t>
  </si>
  <si>
    <t>CAN / REP</t>
  </si>
  <si>
    <t>CUMPLIMIENTO</t>
  </si>
  <si>
    <t>Código:
FT-HSEQ-120</t>
  </si>
  <si>
    <t>OBJETIVO DE LA ACTIVIDAD</t>
  </si>
  <si>
    <t>FACTOR DE RIESGO/PROGRAMA</t>
  </si>
  <si>
    <t>METODOLOGIA:  plantear la metodologia a utilizar en la actividad</t>
  </si>
  <si>
    <t>EVALUACIÓN:  definir si se realizara evaluacion, metodo de evaluación.</t>
  </si>
  <si>
    <t xml:space="preserve">POBLACION OBJETO   </t>
  </si>
  <si>
    <t>CENTRO DE TRABAJO</t>
  </si>
  <si>
    <t>RESPONSABLES</t>
  </si>
  <si>
    <t>% COMPLETADO</t>
  </si>
  <si>
    <t xml:space="preserve">OBSERVACIONES Y SEGUIMIENTO </t>
  </si>
  <si>
    <t>Magistral interactiva con el trabajador</t>
  </si>
  <si>
    <t>Evaluacion Oral y  Escrita con calificación</t>
  </si>
  <si>
    <t>Registro de asistencia, evaluacion</t>
  </si>
  <si>
    <t>Evaluacion Escrita con calificación</t>
  </si>
  <si>
    <t>Registro de asistencia, evaluacion y/o certificado</t>
  </si>
  <si>
    <t>PROTECCION DE MEDIO AMBIENTE</t>
  </si>
  <si>
    <t>PLAN DE EMERGENCIAS</t>
  </si>
  <si>
    <t xml:space="preserve">Taller Teorico-  Practico </t>
  </si>
  <si>
    <t>Evaluación escrita con calificación</t>
  </si>
  <si>
    <t xml:space="preserve">RIESGO MECANICO </t>
  </si>
  <si>
    <t>RIESGO SOCIOPOLITICO</t>
  </si>
  <si>
    <t>PROGRAMA DE GESTIÓN PARA EL RIESGO ELÉCTRICO</t>
  </si>
  <si>
    <t>PARTICIPACION Y CONSULTA</t>
  </si>
  <si>
    <t>MATRIZ DE PELIGROS</t>
  </si>
  <si>
    <t>SATISFACCION DEL CLIENTE</t>
  </si>
  <si>
    <t>CALIDAD</t>
  </si>
  <si>
    <t>PROGRAMA DE RIESGO PSICOSOCIAL</t>
  </si>
  <si>
    <t>RIESGO BIOLOGICO</t>
  </si>
  <si>
    <t>INTERVENCION DEL RIESGO</t>
  </si>
  <si>
    <t>PROGRAMA DE GESTION DE RIESGO RUIDO</t>
  </si>
  <si>
    <t>PROGRAMA ESTILOS DE VIDA SALUDABLE</t>
  </si>
  <si>
    <t>PROGRAMA DE GESTIÓN DE RIESGO QUIMICO</t>
  </si>
  <si>
    <t>GESTION AMBIENTAL</t>
  </si>
  <si>
    <t>Taller practico</t>
  </si>
  <si>
    <t>INVESTIGACION DE ACCIDENTES Y   INCIDENTES/REPORTE DE ACTOS Y CONDICIONES</t>
  </si>
  <si>
    <t xml:space="preserve">PROMOCION Y PREVENCIÓN </t>
  </si>
  <si>
    <t>OBJETIVO SGSST</t>
  </si>
  <si>
    <t>PROGRAMA</t>
  </si>
  <si>
    <t>ACTIVIDADES</t>
  </si>
  <si>
    <t>EVIDENCIA GENERADA</t>
  </si>
  <si>
    <t>FECHA DE INICIO</t>
  </si>
  <si>
    <t>FECHA DE FIN</t>
  </si>
  <si>
    <t>Columna3</t>
  </si>
  <si>
    <t>DURACION</t>
  </si>
  <si>
    <t>Columna2</t>
  </si>
  <si>
    <t>CUMPLIMIENTO LEGAL</t>
  </si>
  <si>
    <t>POLITICAS (sgsst, psicoactivas, psicosocial)</t>
  </si>
  <si>
    <t>Revisiòn de politicas del sistema por parte de la gerencia  y copasst, con actualización de fecha y publicación</t>
  </si>
  <si>
    <t>Acta de copasst donde evidencie divulgación politica, politica con fecha actualizada, firma de gerencia y publicada</t>
  </si>
  <si>
    <t>MEJORA CONTINUA</t>
  </si>
  <si>
    <t>AUTODIAGNOSTICO RESOLUCIÒN 1111 DE 2017</t>
  </si>
  <si>
    <t>Nombramiento de responsable del sistema, evidencia de perfil y competencia</t>
  </si>
  <si>
    <t>Acta firmada por la gerencia de nombramiento, curso 50 horas y licencia en salud ocupacional</t>
  </si>
  <si>
    <t>OBJETIVOS</t>
  </si>
  <si>
    <t>Revisión de objetivos e indicadores  con metas para hacer ajustes según prioridades de la gerencia</t>
  </si>
  <si>
    <t>Matriz de objetivos e indicadores actualizada  con nuevas metas</t>
  </si>
  <si>
    <t>PLAN DE TRABAJO</t>
  </si>
  <si>
    <t>Establecer el plan de trabajo para el año, presentacion a la gerencia y al copasst</t>
  </si>
  <si>
    <t>Plan de trabajo con firma de gerencia, acta de copasst donde se evidencie presentación</t>
  </si>
  <si>
    <t>FORMACION Y CAPACITACION</t>
  </si>
  <si>
    <t>PLAN DE CAPACITACIÓN</t>
  </si>
  <si>
    <t>Establecer plan de capacitación para el año validando que se contemplen todos los factores de riesgo de la matriz de peligros y presentarlo al copasst</t>
  </si>
  <si>
    <t>Plan de capacitación y acta de copasst donde se evidencia que se presenta</t>
  </si>
  <si>
    <t>ASIGNAR RECURSOS</t>
  </si>
  <si>
    <t>PRESUPUESTO</t>
  </si>
  <si>
    <t>Establecer presupuesto del sistema contemplando recursos humanos, tecnicos y financieros, presentarlo a la gerencia para aval.</t>
  </si>
  <si>
    <t>Presupuesto del sistema firmado por la gerencia</t>
  </si>
  <si>
    <t>Realizar autodiagnostico anual, ajustar plan de trabajo con los pendientes</t>
  </si>
  <si>
    <t>Autodiagnostico firmado por la gerencia, plan de trabajo ajustado con lo pendiente del autodiagnostico</t>
  </si>
  <si>
    <t>ROLES Y RESPONSABILIDADES</t>
  </si>
  <si>
    <t>Entrega de perfil de responsabilidades de seguridad a todos los trabajadores  de acuerdo a sus cargos</t>
  </si>
  <si>
    <t>Evidencia de recibido firmada por cada trabajador</t>
  </si>
  <si>
    <t>Mantener actualizado el plan de capacitación con las actividades ejecutadas mes  a mes</t>
  </si>
  <si>
    <t>Plan de capacitación actualizado y archivo de evidencias de capacitación</t>
  </si>
  <si>
    <t>Mantener actualizado el plan de trabajo con las actividades ejecutadas mes  a mes</t>
  </si>
  <si>
    <t>Plan de trabajo actualizado</t>
  </si>
  <si>
    <t>MATRIZ DE REQUISITOS LEGALES</t>
  </si>
  <si>
    <t xml:space="preserve">Actualización de matriz de requisios legales </t>
  </si>
  <si>
    <t>Matriz de requisitos legales actualizada y divulgados los cambios</t>
  </si>
  <si>
    <t>Actualización del presupuesto en su ejecución de acuerdo a los gastos contables</t>
  </si>
  <si>
    <t>Presupuesto actualizaado en su ejecución</t>
  </si>
  <si>
    <t>GESTION DEL RIESGO</t>
  </si>
  <si>
    <t>Actualizar la matriz de identificación de peligros, evaluación y  valoración de riesgos</t>
  </si>
  <si>
    <t>Matriz de peligros actualizada</t>
  </si>
  <si>
    <t>Taller de identificación de peligros con todos los trabajadores</t>
  </si>
  <si>
    <t>Registro de divulgaciòn a todos los trabajadores de los peligros y controles</t>
  </si>
  <si>
    <t>CONTROL ACCIDENTALIDAD Y ENFERMEDAD</t>
  </si>
  <si>
    <t>PERFIL SOCIODEMOGRAFICO</t>
  </si>
  <si>
    <t>Actualizar la encuesta de perfil sociodemografico, tabulación y análisis de la información</t>
  </si>
  <si>
    <t>Perfil sociodemografico aplicado, tabulado y analizado</t>
  </si>
  <si>
    <t>COPASST</t>
  </si>
  <si>
    <t>Conformación del comité, validación que todos los integrantes estes vigentes</t>
  </si>
  <si>
    <t>Acta de conformación de copasst con evidencias de eleccción</t>
  </si>
  <si>
    <t>Capacitación al copasst en funciones, responsabiidades, investigacion de accidentes, inspecciones de seguridad</t>
  </si>
  <si>
    <t>Registro de capacitacion firmado por todos los integrantes del copasst con evidencia de evaluación</t>
  </si>
  <si>
    <t>Realizar plan de trabajo para año  que contemple: inspecciones, investigación, revisión de plan de trabajo, revision de plan de capacitacion, revisión por la dirección, revisión de informes</t>
  </si>
  <si>
    <t>Plan de trabajo de copasst</t>
  </si>
  <si>
    <t>Inspecciones se seguridad realizadas con el copasst</t>
  </si>
  <si>
    <t>Registro de inspecciones realizadas por el copasst, evidencia de firma de los integrantes del copasst</t>
  </si>
  <si>
    <t>Reunión mensual de copasst con evidencia de cumplimiento de sus funciones</t>
  </si>
  <si>
    <t>Acta de reunión diligenciada con firmas</t>
  </si>
  <si>
    <t xml:space="preserve">Participación del comité en la planeación de la auditoria </t>
  </si>
  <si>
    <t>Plan de auditoria con firma del copasst</t>
  </si>
  <si>
    <t>COMITÉ DE CONVIVIENCIA LABORAL</t>
  </si>
  <si>
    <t>Acta de conformación del comité con soportes de elección</t>
  </si>
  <si>
    <t>Capacitación al comite en funciones, responsabiidades, comunicación asertiva y resolución de conflictos</t>
  </si>
  <si>
    <t>Registro de capacitacion firmado por todos los integrantes del comité con evidencia de evaluación</t>
  </si>
  <si>
    <t>Reunión trimestral del comité con evidencia de cumplimiento de sus funciones</t>
  </si>
  <si>
    <t>Acta de reunión trimetral donde se evidencien las activiades ejecutadas por el comité</t>
  </si>
  <si>
    <t xml:space="preserve">Informe de gestión trimestral del comité a la gerencia </t>
  </si>
  <si>
    <t>Evidencia de informe trimestral presentado a la gerencia de gestión del comité con evidencia de firma de la gerencia y del comité</t>
  </si>
  <si>
    <t xml:space="preserve">INDUCCIÓN </t>
  </si>
  <si>
    <t>Realizaciòn de la inducción en seguridad a los trabajadores nuevos, que implica evaluación de la inducción.</t>
  </si>
  <si>
    <t>Registro de induccion firmado por el trabajador, evalución de la inducción calificada</t>
  </si>
  <si>
    <t>CONTROL DOCUMENTAL</t>
  </si>
  <si>
    <t>Evidencias de control de documentos y registros, evidencias de archivo</t>
  </si>
  <si>
    <t>Procedimiento de control de documentos, listado maestro de registros, sistema de archivo</t>
  </si>
  <si>
    <t>MATRIZ DE COMUNICACIONES</t>
  </si>
  <si>
    <t xml:space="preserve">Evidencia de matriz de comunicación interna y externa y las acciones que realiza para dar respuestas </t>
  </si>
  <si>
    <t>Matriz de comunicación diligencias y con trazabilidad</t>
  </si>
  <si>
    <t>PROCEDIMIENTO DE COMPRAS</t>
  </si>
  <si>
    <t>Procedimiento de compras donde contemple especificaciones de seguridad a evaluar</t>
  </si>
  <si>
    <t>Procedimiento y soportes de licencias en salud ocupacional, fichas tecnicas, hojas de seguridad, entre otros</t>
  </si>
  <si>
    <t>SELECCIÓN Y EVALUACION DE CONTRATISTAS</t>
  </si>
  <si>
    <t>Procedimiento de selección de contratistas de aspestos de seguridad para el ingreso, evaluacion de contratistas</t>
  </si>
  <si>
    <t>Procedimiento y evidencias de validación con los contratistas</t>
  </si>
  <si>
    <t>GESTION DEL CAMBIO</t>
  </si>
  <si>
    <t xml:space="preserve">Implementación de gestion del cambio ante nuevos proyectos, cambios de legislación, nuevos quimicos, nuevas maquinas, es decir cambios que afectan seguridad </t>
  </si>
  <si>
    <t>Formato de gestión del cambio diligenciado, firmado y con evidencia de implementación.</t>
  </si>
  <si>
    <t>DIAGNOSTICO DE CONDICIONES DE SALUD</t>
  </si>
  <si>
    <t xml:space="preserve">Solicitar a la IPS el diagnóstico de condiciones de salud con licencia de medico que lo emite </t>
  </si>
  <si>
    <t>informe de diagnostico de condiciones de salud, Licencia de medico que emite informe</t>
  </si>
  <si>
    <t>Analisis de informe de diagnostico de condiciones de salud y establecer plan de acciòn dentro del programa de estilos de vida saludable</t>
  </si>
  <si>
    <t>Plan de acción derivado del analisis del diagnostico de condiciones de salud</t>
  </si>
  <si>
    <t>PROFESIOGRAMA</t>
  </si>
  <si>
    <t>Revisión de profesiograma actualizado de acuerdo a los factores de riesgo</t>
  </si>
  <si>
    <t>Profesiograma firmado por medico laboral</t>
  </si>
  <si>
    <t>EXAMENES MEDICOS</t>
  </si>
  <si>
    <t>Realizaciòn de examenes medicos de ingreso, periodicos y de egreso de acuerdo al profesiograma</t>
  </si>
  <si>
    <t>Conceto de aptitud laboral por trabajador</t>
  </si>
  <si>
    <t>Entrega de resultado de examenes medicos a cada trabajador</t>
  </si>
  <si>
    <t>Documento que evidencie la comunicación por escrito al trabajador de los resultados de las evaluaciones médicas ocupacionales.</t>
  </si>
  <si>
    <t>Solicitar a las IPS comunicado formal donde se comprometa a realizar custodia de las historias clinicas de acuerdo a la resolucion 839 de 2017</t>
  </si>
  <si>
    <t>Carta o comunicado firamdo por IPS de examens medicos  de custodia de historias clinicas</t>
  </si>
  <si>
    <t>REINTEGRO LABORAL</t>
  </si>
  <si>
    <t>Mantener el programa de reintegro laboral actualizado:  matriz de casos actualizada, evidencia de entrega de recomendaciones medicas, evidencia de seguimiento a casos, soporte de cierre de casos</t>
  </si>
  <si>
    <t>Evidencia de entrega de recomendaciones, evidencia de seguimiento a cumplimiento de recomendaciones, evidencia de cierre de casos.  Todo firmado por trabajador, jefe inmediato y coordinador sgsst</t>
  </si>
  <si>
    <t>MATRIZ DE VIGILANCIA MEDICA</t>
  </si>
  <si>
    <t>Tener actualizado el cuadro control de trabajadores con fechas de examen medico, recomendacioens generadas del examen, factores de riesgo</t>
  </si>
  <si>
    <t>Cuadro control de trabajadores, examen medicos y cursos actualizado</t>
  </si>
  <si>
    <t>ESTILOS DE VIDA SALUDABLE</t>
  </si>
  <si>
    <t>Revisión del informe de condiciones de salud, revisión de la tabulación del perfil sociodemografico, analisis del comportamiento del ausentismo para establecer programa de estilos de vida saludable</t>
  </si>
  <si>
    <t>Programa estilos de vida saludable con actividades definidas</t>
  </si>
  <si>
    <t xml:space="preserve">Capacitar al personal en tabaquismo, alcoholismo y famacodependencia </t>
  </si>
  <si>
    <t>registro de capacitación</t>
  </si>
  <si>
    <t>INVESTIACIÓN DE ACCIDENTES E INCIDENTES</t>
  </si>
  <si>
    <t xml:space="preserve">Realizar la investigacion de los accidentes de trabajo </t>
  </si>
  <si>
    <t>Investigacion realizada y firmada por comité investigador y gerencia</t>
  </si>
  <si>
    <t>Realizar reinducción y socializacion de la leccion aprendida derivada de la investigación</t>
  </si>
  <si>
    <t>Registro de reinduccion de trabajador accidentado, registro de divulgacion de leccion aprendida a todos los trabajadores</t>
  </si>
  <si>
    <t>PLAN DE ACCIÓN CONSOLIDADO</t>
  </si>
  <si>
    <t>Alimentar la matriz de plan de acción consolidado con  los planes de accion derivados de la investigacion, indicadores desviados, inspecciones de seguridad, revision por la direccion y audtitoria</t>
  </si>
  <si>
    <t>Matriz de planes de acción actualizada</t>
  </si>
  <si>
    <t>CARACTERIZACIÓN DE LA ACCIDENTALIDAD</t>
  </si>
  <si>
    <t>Mantener actualizada la herramienta de caracterización de la accidentalidad</t>
  </si>
  <si>
    <t>Herramienta de caracterización actualizada</t>
  </si>
  <si>
    <t>CARACTERIZACION DEL AUSENTISMO</t>
  </si>
  <si>
    <t>Mantener actualizada la herramienta de caracterización del ausentismo</t>
  </si>
  <si>
    <t>MEDICIÓN DE INDICADORES</t>
  </si>
  <si>
    <t xml:space="preserve">Mantener la matriz de indicadores medidos y actualizados </t>
  </si>
  <si>
    <t>herramienta de medición de indicadores al dia</t>
  </si>
  <si>
    <t xml:space="preserve">ELEMENTOS DE PROTECCIÓN PERSONAL </t>
  </si>
  <si>
    <t>Construir matriz de elementos de protección personal por cargo y especidicaciones tecnics para direccionar a proceso de compras</t>
  </si>
  <si>
    <t>Matriz de EPP y requierimiento a compras</t>
  </si>
  <si>
    <t>Entrega de elementos de protección personal a personal nuevo o entrega de reposición a personal nueva</t>
  </si>
  <si>
    <t xml:space="preserve">Registro de entrega de los epp a cada </t>
  </si>
  <si>
    <t>INSPECCIONES DE SEGURIDAD</t>
  </si>
  <si>
    <t xml:space="preserve">Cronograma de inspecciones de herramientas, epp, locativas, emergencias </t>
  </si>
  <si>
    <t>Cronograma de inspecciones y listas de chequeo de inspecciones</t>
  </si>
  <si>
    <t>Realización de inspecciones de seguridad de acuerdo a cronograma, consolidación de hallazgos en matriz de plan de acción consolidado y hacer seguimiento a la ejecución.</t>
  </si>
  <si>
    <t>Listas de chequeo de inspeccioens diligenciadas, matriz de plan de accion con seguimiento a implementación.</t>
  </si>
  <si>
    <t>REVISIÓN POR LA DIRECCION</t>
  </si>
  <si>
    <t>Realización de informe de revisión por la dirección, presentación a la gerencia</t>
  </si>
  <si>
    <t>Informe firmado por la gerencia, copast y coordinador sistema</t>
  </si>
  <si>
    <t>AUDITORIA</t>
  </si>
  <si>
    <t>Realización del plan de auditoria, presentación al copasst y gerencia</t>
  </si>
  <si>
    <t>Plan de auditoria firamdo por el auditor y por el copasst</t>
  </si>
  <si>
    <t>Realización de la auditoria interna, elaboación de informe de auditoria y presentación a la gerencia</t>
  </si>
  <si>
    <t>Informe de auditoria firmado por la gerencia</t>
  </si>
  <si>
    <t xml:space="preserve">SEGUIMIENTO Y MEJORA </t>
  </si>
  <si>
    <t>Análisis de: Ausentismo, Accidentalidad, Investigación AT/IT. Medición de indicadores, programa de reintegro, informes HSEQ, gestión del cambio, Matriz de plan de acción consolidado</t>
  </si>
  <si>
    <t xml:space="preserve">Informe de seguimiento mediante acta </t>
  </si>
  <si>
    <t>Revisión de los informes recibidos por la ARL, entidades gubernamentables, analisis de las recomendaciones y establecer planes de acción derivados de las recomendacioens</t>
  </si>
  <si>
    <t>plan de acción consolidado con los planes de acción ejecutados</t>
  </si>
  <si>
    <t>PLAN DE PREVENCION, PREPARACIÓN Y RESPUESTA ANTE EMERGENCIAS</t>
  </si>
  <si>
    <t>Realizar plan de capacitación para la brigada y ejecutarlo, con elección de la brigada</t>
  </si>
  <si>
    <t>Registro de elección de la brigada, plan de capacitacio de la brigada en el plan de capacitación, evidencia de formación de la brigada</t>
  </si>
  <si>
    <t>Realizar plan de emergencias de la empresa que incluya:  analisis de vulnerabilidad, plan de evacuación, señalización, PON, plan de ayuda mutua</t>
  </si>
  <si>
    <t>plan de emergencias aterrizado a la empresa</t>
  </si>
  <si>
    <t>Divulgar al personal el plan de prevención, preparación y respuesta ante emergencias</t>
  </si>
  <si>
    <t>Registro de capacitacion</t>
  </si>
  <si>
    <t>Realizar simulacro de emergencia  con entrega de guion de preparación de simulacro, e informe de simulacro</t>
  </si>
  <si>
    <t>Guia de preparación de simulacro, informe de simulacro</t>
  </si>
  <si>
    <t>QUIMICO</t>
  </si>
  <si>
    <t>Realizar la matriz de compatibilidad con con sistema globalmente armonizado</t>
  </si>
  <si>
    <t>Matriz de compatibilidad de sustancias quimicas divulgada y publicada</t>
  </si>
  <si>
    <t>Mantener las hojas de seguridad actualizadas y disponibles en el área de las sustancias que se manipulan o almacenan</t>
  </si>
  <si>
    <t>Hojas de segurirda de sustancias quimicas en un repositorio en las areas que se utilizan</t>
  </si>
  <si>
    <t>Mantener actualizado el inventario de sustancias quimicas y la matriz de compatibilidad</t>
  </si>
  <si>
    <t>Inventario de sustancias quimcias actualizado</t>
  </si>
  <si>
    <t>Procedmiento de manipulacion, almacenamiento, trasvase, transporte y disposicion final de productos quimicos</t>
  </si>
  <si>
    <t>Procedimiento de riesgo quimico</t>
  </si>
  <si>
    <t>Capacitar al personal en hojas de seguridad, matriz de compatibilidad y medidas de prevención como etiquetado, reenvase y almacenamiento.</t>
  </si>
  <si>
    <t>Registro de capacitación</t>
  </si>
  <si>
    <t>Realizar inspección de seguimiento para reenvase, rotulación y almacenamiento</t>
  </si>
  <si>
    <t xml:space="preserve">Registro de inspeccion </t>
  </si>
  <si>
    <t>ALTURAS</t>
  </si>
  <si>
    <t>Realizar  el inventario de trabajo en alturas</t>
  </si>
  <si>
    <t>Inventario de tareas en alturas</t>
  </si>
  <si>
    <t>Control de personal expuesto a alturas mediente cuadro control de examens y cursos</t>
  </si>
  <si>
    <t>Cuadro control de personal expuesto a alturas</t>
  </si>
  <si>
    <t>Programar el personal a los cursos de alturas: Nivel Básico, Avanzado, Reentrenamiento y/o Coordinador, según aplique.</t>
  </si>
  <si>
    <t>Certificado de aptitud en alturas medico y certificado de curso de formación en alturas</t>
  </si>
  <si>
    <t>Construir hojas de vida de equipos de alturas</t>
  </si>
  <si>
    <t>Hojas de vida de equipos de alturas</t>
  </si>
  <si>
    <t>Mantener actualizado el inventario de equipos de alturas  y hojas de vida de los equipos</t>
  </si>
  <si>
    <t xml:space="preserve">Inventario de equipos de alturas </t>
  </si>
  <si>
    <t>Realizar inspección validando la implementacion del programa de protección contra caidas: permiso de trabajo, epp, equipos de alturas.</t>
  </si>
  <si>
    <t>Registro de inspeccion de equipos de alturas por parte del coordinador en alturas</t>
  </si>
  <si>
    <t>Programar inspección a equipos de alturas y generar informe de condiciones por ente avalado - fabricante</t>
  </si>
  <si>
    <t>Certificado emitido por ente avalado por equipo</t>
  </si>
  <si>
    <t xml:space="preserve">Realizar el permiso de trabajo en alturas y/o lista de chequeo y ATS previo a cada trabajo </t>
  </si>
  <si>
    <t>Permiso de trabajo o lista de cheque implementada.</t>
  </si>
  <si>
    <t>PROGRAMA DE MANTENIMIENTO</t>
  </si>
  <si>
    <t>Construir inventario de equipos, herramientas  que tiene la erpresa</t>
  </si>
  <si>
    <t>Inventario de herramientas y equipos</t>
  </si>
  <si>
    <t xml:space="preserve">Hacer la programación del mantenimiento de las herramientas y equipos </t>
  </si>
  <si>
    <t>Cronograma de mantenimeinto de herramientas y equipos</t>
  </si>
  <si>
    <t>Construir hojas de vida de equipos y herramientas  y registrar en ellas los mantenimientos realizados</t>
  </si>
  <si>
    <t>Hoja de vida actualizada con mantenimientos</t>
  </si>
  <si>
    <t>RENDICIÓN DE CUENTAS</t>
  </si>
  <si>
    <t>Informe de rendición de cuentas del comité partitario, comité de convivencia, brigada de emergencias y coordinadores de seguridad del proyecto.</t>
  </si>
  <si>
    <t>Informe de rendicion de cuentas de comites, coordiandores a la gerencia</t>
  </si>
  <si>
    <t>AUDITIVO</t>
  </si>
  <si>
    <t>Realizar medición de ruido de acuerdo a la fuente de riesgo</t>
  </si>
  <si>
    <t>Informe de medición de ruido</t>
  </si>
  <si>
    <t xml:space="preserve">Solicitar a la IPS  el envio de resultado audimetrias a profesional de analisis </t>
  </si>
  <si>
    <t>Correo a IPS para que remita audiomterias a fonoaudiologa arl o medico</t>
  </si>
  <si>
    <t>Tabulación de audiometrias periodicas vs ingreso para definir trabajadores con perdida auditiva</t>
  </si>
  <si>
    <t>Analisis de audiometrias cuadro de población objeto</t>
  </si>
  <si>
    <t>Capacitar al personal en uso de protectores auditivos, mecanismos de prevención y cuidado del oido</t>
  </si>
  <si>
    <t>Registro de capaciación</t>
  </si>
  <si>
    <t>Inspección de uso de elementos de proteccion auditiva</t>
  </si>
  <si>
    <t>Registro de isnpección en cuadro población objeto</t>
  </si>
  <si>
    <t>BIOMECANICO</t>
  </si>
  <si>
    <t>Caracterización del factor de riesgo biomecanico por puesto de trabajo</t>
  </si>
  <si>
    <t>Factor de riesgo ponderado por criticidad de riesgo biomecanico</t>
  </si>
  <si>
    <t>Análisis  de población objeto del SVE con el cruce de informacion de exámenes medicos, ausentismo, accidentalidad, programa de reintegro laboral y la caracterizacion del riesgo por puesto de trabajo</t>
  </si>
  <si>
    <t>Poblacion objeto  de auditivo</t>
  </si>
  <si>
    <t>Capacitación al personal en factor del riesgo biomecánico (higiene postural, pausas activas, levantamiento de cargas)</t>
  </si>
  <si>
    <t>registro de capacitacion</t>
  </si>
  <si>
    <t>Capacitación al personal en el programa de calistenia y pausas activas</t>
  </si>
  <si>
    <t>Documentación de procedimiento de riesgo biomecanico</t>
  </si>
  <si>
    <t>Programa documentado</t>
  </si>
  <si>
    <t>Mayo 25 a las 6:30 a.m; Mayo 28 a la 1:00 p.m; Junio 2 a las 8:00 a.m</t>
  </si>
  <si>
    <t>PSICOSOCIAL</t>
  </si>
  <si>
    <t>Aplicación de la bateria de riesgo psicosocial</t>
  </si>
  <si>
    <t>Informe de diagnostico psicosocial</t>
  </si>
  <si>
    <t xml:space="preserve">Socializar el informe de diagnostico de factores psicosociales al comité de conviviencia </t>
  </si>
  <si>
    <t>Acta de comité con evidencia de socializacion de informe</t>
  </si>
  <si>
    <t>Socializar el informe de diagnostico de factores psicosociales con la Gerencia.</t>
  </si>
  <si>
    <t>Aprobación de plan de trabajo</t>
  </si>
  <si>
    <t>Establecer plan de trabajo de acuerdo al diagnostico</t>
  </si>
  <si>
    <t>Programa psicosocial ajustado</t>
  </si>
  <si>
    <t>PORCENTAJE DE EJECUCIÓN DE ACTIVIDADES
PLANEADAS</t>
  </si>
  <si>
    <t>MESES</t>
  </si>
  <si>
    <t>AVANCE ACTIVIDADES</t>
  </si>
  <si>
    <t>ENERO</t>
  </si>
  <si>
    <t>FEBRERO</t>
  </si>
  <si>
    <t>PLANEADA</t>
  </si>
  <si>
    <t>MARZO</t>
  </si>
  <si>
    <t>EJECUTADA</t>
  </si>
  <si>
    <t>ABRIL</t>
  </si>
  <si>
    <t>CANCELADA</t>
  </si>
  <si>
    <t>MAYO</t>
  </si>
  <si>
    <t>REPROGRAMADA</t>
  </si>
  <si>
    <t>JUNIO</t>
  </si>
  <si>
    <t>JULIO</t>
  </si>
  <si>
    <t>AGOSTO</t>
  </si>
  <si>
    <t>SEPTIEMBRE</t>
  </si>
  <si>
    <t>OCTUBRE</t>
  </si>
  <si>
    <t>NOVIEMBRE</t>
  </si>
  <si>
    <t>DICIEMBRE</t>
  </si>
  <si>
    <t>Etiquetas de fila</t>
  </si>
  <si>
    <t>Promedio de % COMPLETADO</t>
  </si>
  <si>
    <t>PROGRAMA DE GESTIÓN DE RIESGO QUIMICO2</t>
  </si>
  <si>
    <t>Total general</t>
  </si>
  <si>
    <t>RIESGO LOCATIVO</t>
  </si>
  <si>
    <t>RIESGO LOCATIVO2</t>
  </si>
  <si>
    <t>OBJETIVO</t>
  </si>
  <si>
    <t>GESTION AMBIENTAL/FORESTAL</t>
  </si>
  <si>
    <t>GESTION AMBIENTAL/PROGRAMA DE ENERGIAS LIMPIAS</t>
  </si>
  <si>
    <t>GESTION AMBIENTAL/PROGRAMA DE GESTION INTEGRAL DE RESIDUOS</t>
  </si>
  <si>
    <t>Accidentalidad</t>
  </si>
  <si>
    <t>Tècnicas de observaciòn: Tipos de Observación – Técnicas de Observación – Tipos de Feedback</t>
  </si>
  <si>
    <t xml:space="preserve">Tecnicas de asertividad: Comunicación Asertiva – Técnicas Asertivas – Habilidades Sociales. </t>
  </si>
  <si>
    <t>ISO 9001</t>
  </si>
  <si>
    <t>Riesgo de golpes por o contra objetos ( incluye caida de objetos ( altura), en almacenamiento de elementos, desplazamiento de materiales en terrenos inclinados  e irregulares etc.</t>
  </si>
  <si>
    <t>Origen /necesidad</t>
  </si>
  <si>
    <t>Divulgar  al personal nuevo y antiguo los siguientes temas: general de la empresa,  calidad, seguridad y salud en el trabajo, gestión Ambiental, de acuerdo al cargo y otros temas. (Cada vez que ingresa personal)</t>
  </si>
  <si>
    <t xml:space="preserve">Riesgo quimico: Manipulaciòn segura de sustancias quimicas,almacenamiento, hojas de seguridad, matriz de compatibilidad </t>
  </si>
  <si>
    <t xml:space="preserve">Desplazamientos seguros en la vía/seguridad vial pasajeros/seguridad vial a peatones
</t>
  </si>
  <si>
    <t xml:space="preserve">Primeros auxilios - evacuaciòn y camillaje (Técnicas de atención básica método PAS ( proteger, avisar, socorrer) </t>
  </si>
  <si>
    <t xml:space="preserve">Riesgo biologico : Bacterias, virus y hongos /Vegetación urticante, venenosa o punzante/ animales venenosos (serpientes, arañas, escorpiones, avispas, abejas) </t>
  </si>
  <si>
    <t>Sinergia positiva</t>
  </si>
  <si>
    <t>Pausas activas/ calistenias/ higiene postural</t>
  </si>
  <si>
    <t xml:space="preserve">Importancia de ejercicio y alimentaciòn sana-saludable 
</t>
  </si>
  <si>
    <t xml:space="preserve">Gestión de emergencias primeros auxilios en pacientes por riesgo eléctrico
</t>
  </si>
  <si>
    <t xml:space="preserve">Funcionamiento auditivo/Uso higiene protección auditiva
</t>
  </si>
  <si>
    <t>Manipulación y tansporte de cargas, posturas y trabajo repetitivo</t>
  </si>
  <si>
    <t xml:space="preserve">Gestión para el cuidado integral de la salud de los trabajadores ( prevención de estrés,depresión,ansiedad) </t>
  </si>
  <si>
    <t xml:space="preserve">Prevenciòn del riesgo cardiovascular y otras enfermedades </t>
  </si>
  <si>
    <t>Riesgo auditivo</t>
  </si>
  <si>
    <t>INDUCCION / REINDUCCION  SGI</t>
  </si>
  <si>
    <t>PLAN ESTRATEGICO DE SEGURIDAD VIAL</t>
  </si>
  <si>
    <t>PROGRAMA DE SVE OSTEOMUSCULAR</t>
  </si>
  <si>
    <t>PROGRAMA DE GESTIÓN PARA EL RIESGO ELÉCTRICO/ PROGRAMA DE GESTIÒN DEL RIESGO CONTRA CAIDAS</t>
  </si>
  <si>
    <t>PROGRAMA DE GESTIÓN PARA EL RIESGO ELÉCTRICO / PLAN DE EMERGENCIAS</t>
  </si>
  <si>
    <t>GESTION AMBIENTAL / PLAN DE EMERGENCIAS</t>
  </si>
  <si>
    <t>COORDINADOR HSEQ</t>
  </si>
  <si>
    <t>LIDER AMBIENTAL/FORESTAL</t>
  </si>
  <si>
    <t>ARL SURA/COORDINADOR HSEQ</t>
  </si>
  <si>
    <t>PROCESO DE INDUCCION / REINDUCCIÒN</t>
  </si>
  <si>
    <t>CONDICIONES DE SEGURIDAD/INSPECCIONES</t>
  </si>
  <si>
    <t>INTERVENCIÒN DEL RIESGO / PLAN DE EMERGENCIAS</t>
  </si>
  <si>
    <t>Intensidad horaria por trabajador</t>
  </si>
  <si>
    <t>Evidencia de la formaciòn</t>
  </si>
  <si>
    <t>Trabajadores nuevos o con inducciòn superior a 1 año</t>
  </si>
  <si>
    <t>Todos los trabajadores asociado al contrato</t>
  </si>
  <si>
    <t>Se realiza cada vez que ingresa personal o se presenta vencimiento de induccion ( 1 año)</t>
  </si>
  <si>
    <t>ANALISIS DEL DESARROLLO DEL PLAN ANUAL DE CAPACITACION Y REQUERIMIENTOS PARA TRATAMIENTO A DESVIACIONES ( trimestral):</t>
  </si>
  <si>
    <t>Trimestre 1</t>
  </si>
  <si>
    <t>Trimestre 2</t>
  </si>
  <si>
    <t>Trimestre 3</t>
  </si>
  <si>
    <t>Trimestre 4</t>
  </si>
  <si>
    <t>Centro de trabajo  ( Indicar: nombre cliente, # contrato, objeto de contrato)</t>
  </si>
  <si>
    <t>Líder HSEQ  del proyecto:</t>
  </si>
  <si>
    <t>TEMA DE INTERVENCIÓN:  definir que se quiere transmitir, antecedentes del riesgo o del evento</t>
  </si>
  <si>
    <t>Inducción/reinducciòn ( SD SAS)</t>
  </si>
  <si>
    <t>GESTIÓN DEL RIESGOS PRIORITARIOS</t>
  </si>
  <si>
    <t>Seguridad Eléctrica:
Tema 1:  Identificación de riesgos, medidas de control, roles y responsabilidades, inspecciones de seguridad.</t>
  </si>
  <si>
    <t>Seguridad Eléctrica:
Tema 2: Distancias de seguridad, técnica de trabajo, trabajo en proximidad</t>
  </si>
  <si>
    <t>Tema: Manipulación y transporte de cargas, posturas y trabajo repetitivo.</t>
  </si>
  <si>
    <t>Habilidades blandas:
Tema 1. '¿Lideres o Jefes?: Conceptos Liderazgo – Tipos de Liderazgo – Proceso de Liderazgo – Anti líder – Recomendaciones</t>
  </si>
  <si>
    <t>Tema 3. Formación en lideres en seguridad y salud en el trabajo bajo el Fortalecimiento en Habilidades blandas</t>
  </si>
  <si>
    <t xml:space="preserve">Plan atención amergencias </t>
  </si>
  <si>
    <t xml:space="preserve">Tema 2: Identificación de Peligros y Evaluación de Riesgos (IPER) </t>
  </si>
  <si>
    <t xml:space="preserve">Tema 4. Promoción de la Cultura de Seguridad </t>
  </si>
  <si>
    <t xml:space="preserve">Tema 5. Reporte de accidentes e incidentes de trabajo </t>
  </si>
  <si>
    <t>Teórico- Práctica</t>
  </si>
  <si>
    <t>Evaluación escrita y/o Taller</t>
  </si>
  <si>
    <t>Liniero I, Liniero II, Jefe de trabajos, vigía de prevención ( todos los operativos)</t>
  </si>
  <si>
    <t>Registro de asistencia y  evaluación y/o taller y/o certificado</t>
  </si>
  <si>
    <t>PROGRAMA DE GESTIÓN PARA EL RIESGO ELÉCTRICO / PROGRAMA PARA LA GESTIÓN DEL RIESGO MECÁNICO</t>
  </si>
  <si>
    <t>REQUISITOS LEGALES</t>
  </si>
  <si>
    <t>Prevenciòn al consumo de drogas y alcohol</t>
  </si>
  <si>
    <t xml:space="preserve">Caídas a nivel/oden y aseo </t>
  </si>
  <si>
    <t>Cuidado visual</t>
  </si>
  <si>
    <t>Manipulacion de herramientas de corte ( machete, motosierra, guadañadoras, podadoras alturas y otra herramientas de corte)</t>
  </si>
  <si>
    <t>Manejo Defensivo y Seguridad vial Vehículos Seguros y análisis de factores de riesgo en la vía.</t>
  </si>
  <si>
    <t>Riesgo Biomecanico en actividades operativas</t>
  </si>
  <si>
    <t xml:space="preserve">Gestión del estrés y salud Mental
</t>
  </si>
  <si>
    <t>Toma de decisiónes y resolución de problemas en la gestión de los riesgos en el trabajo</t>
  </si>
  <si>
    <t>Uso y Cuidado Correcto del Equipos y elementos de de Protección Personal (EPP)</t>
  </si>
  <si>
    <t>Cultura de Seguridad ( psicosocial)</t>
  </si>
  <si>
    <t>Tema 3. Técnicas de Observación y Reporte actos y condiciones inseguras</t>
  </si>
  <si>
    <t>Control del fuego y procedimiento seguro de evacuación</t>
  </si>
  <si>
    <t xml:space="preserve">Reporte de accidentes, incidentes, actos inseguros  y lineamientos para su investigaciòn
</t>
  </si>
  <si>
    <t xml:space="preserve">
Técnicas de atención básica de emergencias por evento  ambiental y  acidente biològico</t>
  </si>
  <si>
    <t>Tema habilitación</t>
  </si>
  <si>
    <t>Teórica</t>
  </si>
  <si>
    <t>Teórico - Práctica</t>
  </si>
  <si>
    <t xml:space="preserve"> Teorico-  Practico </t>
  </si>
  <si>
    <t>Taller practico y/o taller</t>
  </si>
  <si>
    <t xml:space="preserve">Teorico-  Practico </t>
  </si>
  <si>
    <t>Evaluacion Oral/</t>
  </si>
  <si>
    <t>Taller practico y/o taller/evaluyacion</t>
  </si>
  <si>
    <t>Teórico - práctica</t>
  </si>
  <si>
    <t>ORIGEN/NECESIDAD</t>
  </si>
  <si>
    <t>REQUISITO LEGAL</t>
  </si>
  <si>
    <t>ACCIDENTALIDAD</t>
  </si>
  <si>
    <t>INFORME CONDICIONES DE SALUD</t>
  </si>
  <si>
    <t>PROGRAMA DE GESTION/MATRIZ DE PELIGROS</t>
  </si>
  <si>
    <t>INFORMES ENTES DE CONTROL</t>
  </si>
  <si>
    <t>CONTRACTUAL</t>
  </si>
  <si>
    <t>HABILITACION</t>
  </si>
  <si>
    <t>CONTROL DE ACCIDENTALIDAD / PROGRAMA DE GESTION</t>
  </si>
  <si>
    <t>PROGRAMA DE GESTION/REQUISITO LEGAL/HABILITACION</t>
  </si>
  <si>
    <t>PROGRAMA DE GESTION/REQUISITO LEGAL/HABILITACION/MATRIZ DE PELIGROS</t>
  </si>
  <si>
    <t>CONTROL DE ACCIDENTALIDAD / PROGRAMA DE GESTION/MATRIZ DE PELIGROS</t>
  </si>
  <si>
    <t>Se proyectan capacitaciones asociadas a gestion ambiental relacionando: riesgo quimico, biológico, las demás relacionadas al cuidado del medio ambiente serán proyectadas por la Dir. Ambiental desde los programas de gestión.</t>
  </si>
  <si>
    <t>ESSA EPM
Servicios de mantenimiento de líneas de transmisión de energía CW261422</t>
  </si>
  <si>
    <t>Capacitar a los trabajadores y contratistas en la identificación de amenazas, procedimientos y acciones a seguir frente a situaciones de emergencia, con el fin de prevenir lesiones, minimizar daños a las personas, instalaciones y al medio ambiente, y asegurar una respuesta eficaz, organizada y oportuna durante la ocurrencia de eventos como incendios, accidentes laborales, emergencias eléctricas, naturales o tecnológicas, de acuerdo con el Plan de Atención de Emergencias del proyecto</t>
  </si>
  <si>
    <t>Actuar de manera segura y ordenada frente a una emergencia.
Conocer su rol dentro del Plan de Atención de Emergencias.
Utilizar correctamente rutas de evacuación y equipos básicos.
Contribuir a una respuesta efectiva, reduciendo riesgos y consecuencias.</t>
  </si>
  <si>
    <t>se requiere documento con capacitacion que incluya tema:  xxx  para personal de sector electrico y contrucción que incluya objetivos relacionados a: Capacitar y fortalecer conocimientos al personal en:</t>
  </si>
  <si>
    <t>Capacitar y fortalecer los conocimientos del personal en habilidades blandas asociadas al liderazgo, sensibilizando sobre la importancia de los estilos de mando y los tipos de liderazgo, con el fin de fortalecer las habilidades del equipo de trabajo que influyen en las actuaciones técnicas, ambientales y de seguridad y salud en el trabajo</t>
  </si>
  <si>
    <t xml:space="preserve">
Sensibilizar al personal acerca de la diferencia entre jefe y líder.
Reconocer los conceptos básicos de liderazgo y su aplicación en campo.
Identificar los diferentes tipos de liderazgo y su impacto en los equipos de trabajo.
Comprender el proceso de liderazgo y su relación con la cultura de seguridad.
Identificar conductas del anti‑líder y sus consecuencias en el desempeño del equipo.
Brindar recomendaciones prácticas para fortalecer un liderazgo positivo en el sector eléctrico y construcción.</t>
  </si>
  <si>
    <t xml:space="preserve">
Dar a conocer el concepto de liderazgo inspirador y transformacional aplicado al sector eléctrico y de la construcción.
Fortalecer las capacidades de liderazgo para influir en comportamientos seguros.
Promover el empoderamiento del personal como estrategia para la prevención de accidentes.
Reconocer la relación entre liderazgo, cultura de seguridad y ambientes laborales saludables.
Brindar herramientas prácticas para generar cambios positivos de comportamiento en los equipos de trabajo</t>
  </si>
  <si>
    <t>Riesgo Sociopolítico</t>
  </si>
  <si>
    <t xml:space="preserve">
Dar a conocer el concepto de riesgo sociopolítico y su impacto en las actividades operativas.
Identificar los principales riesgos sociopolíticos que pueden afectar al sector eléctrico y construcción.
Sensibilizar al personal sobre las medidas preventivas y de autoprotección.
Brindar lineamientos generales de actuación ante la identificación de artefactos explosivos.
Fortalecer la capacidad de reacción ante situaciones de conflicto social o armado, secuestro y extorsión.</t>
  </si>
  <si>
    <t>Importancia del uso adecuado de los Equipos de Protección Personal (EPP).
Importancia del cumplimiento de normas y procedimientos de seguridad.
Comprensión de accidentes e incidentes de trabajo y la importancia del reporte oportuno.</t>
  </si>
  <si>
    <t>Capacitar y fortalecer los conocimientos del personal sobre la prevención del consumo de drogas y alcohol, promoviendo estilos de vida saludables y seguros, que contribuyan a la prevención de accidentes, enfermedades y riesgos laborales.</t>
  </si>
  <si>
    <t>Generar conciencia sobre los daños físicos y de salud que produce el consumo de sustancias psicoactivas y alcohol.
Reconocer las consecuencias laborales del consumo de alcohol y drogas, especialmente en actividades de alto riesgo del sector eléctrico y de la construcción.
Identificar los impactos sociales y familiares asociados al consumo de sustancias psicoactivas y alcohol.
Promover el autocuidado y la toma de decisiones responsables, fomentando una vida sana, segura y libre de adicciones.
Prevenir enfermedades, accidentes e incidentes de trabajo derivados del consumo de alcohol y drogas.</t>
  </si>
  <si>
    <t>Capacitar y fortalecer los conocimientos del personal sobre el riesgo biomecánico presente en las actividades operativas, brindando herramientas para la prevención de lesiones musculoesqueléticas y la ejecución segura de las labores.</t>
  </si>
  <si>
    <t>Identificar el riesgo biomecánico asociado a las actividades operativas propias del sector eléctrico y de la construcción.
Prevenir lesiones musculoesqueléticas, mediante la adopción de posturas correctas y prácticas de trabajo seguro.
Aplicar técnicas adecuadas de manipulación manual de materiales, reduciendo la sobrecarga física y el esfuerzo innecesario.
Utilizar correctamente herramientas y equipos, minimizando movimientos repetitivos, posturas forzadas y esfuerzos prolongados.
Promover el autocuidado y la conciencia preventiva como parte de la cultura de seguridad y salud en el trabajo.</t>
  </si>
  <si>
    <t>Dar a conocer al personal los lineamientos para la rotulación, almacenamiento y manipulación segura de sustancias químicas, fortaleciendo la prevención de accidentes, enfermedades laborales y daños al ambiente, conforme a los criterios del Sistema Globalmente Armonizado (SGA).</t>
  </si>
  <si>
    <t>Identificar el riesgo químico presente en las sustancias utilizadas durante el desarrollo de sus actividades laborales.
Reconocer la importancia de la rotulación adecuada de productos químicos, de acuerdo con el Sistema Globalmente Armonizado (SGA).
Aplicar prácticas seguras para la manipulación de sustancias químicas, reduciendo la exposición y el riesgo de accidentes.
Adoptar lineamientos correctos para el almacenamiento de productos químicos, teniendo en cuenta la compatibilidad química.
Interpretar y utilizar adecuadamente las Hojas de Datos de Seguridad (HDS/MSDS) como herramienta fundamental para la prevención de emergencias químicas.
Comprender y aplicar la matriz de compatibilidad, evitando reacciones peligrosas entre sustancias químicas.</t>
  </si>
  <si>
    <t>Fortalecer las técnicas de observación de conductas seguras e inseguras, aplicando la metodología de Seguridad Basada en el Comportamiento (SBC), con el fin de promover el reporte oportuno de actos y condiciones de seguridad y prevenir la materialización de accidentes de trabajo.</t>
  </si>
  <si>
    <t>Comprender los principios de la Seguridad Basada en el Comportamiento (SBC) como herramienta preventiva en Seguridad y Salud en el Trabajo.
Reconocer los diferentes tipos de observación, aplicables a las actividades operativas y cotidianas.
Aplicar técnicas efectivas de observación de conductas, enfocadas en identificar actos y condiciones subestándar.
Valorar la importancia del reporte oportuno de actos y condiciones inseguras, como medio para prevenir accidentes de trabajo.
Brindar feedback efectivo, respetuoso y constructivo que promueva cambios positivos en el comportamiento seguro.</t>
  </si>
  <si>
    <t>Capacitar a los trabajadores en la correcta selección, uso, mantenimiento y almacenamiento del Equipo de Protección Personal (EPP), garantizando su eficacia como medida de control y contribuyendo a la minimización de los riesgos laborales.</t>
  </si>
  <si>
    <t>Reconocer la importancia del EPP como última barrera de protección frente a los riesgos laborales.
Identificar y seleccionar correctamente los elementos de protección personal entregados, de acuerdo con el tipo de riesgo y la actividad a realizar.
Utilizar adecuadamente el EPP, garantizando su correcto ajuste y funcionamiento durante la ejecución de las tareas.
Aplicar prácticas adecuadas de mantenimiento y limpieza del EPP, prolongando su vida útil y asegurando su efectividad.
Almacenar correctamente los elementos de protección personal, evitando su deterioro o contaminación.
Promover el autocuidado y la responsabilidad individual, reforzando una cultura de seguridad y prevención en el trabajo</t>
  </si>
  <si>
    <t>Capacitar al personal en acciones seguras para la manipulación, cargue, traslado y uso adecuado de herramientas y equipos, con enfoque en la prevención del riesgo mecánico, con el fin de evitar golpes, atrapamientos, choques, cortes y otros accidentes de trabajo.</t>
  </si>
  <si>
    <t>Identificar el riesgo mecánico asociado a la manipulación de herramientas y equipos durante la ejecución de sus actividades.
Reconocer las acciones inseguras que pueden generar golpes, atrapamientos, choques, cortes o aplastamientos.
Aplicar técnicas seguras de cargue y traslado de herramientas y equipos, reduciendo el riesgo de accidentes y lesiones.
Utilizar correctamente las herramientas y equipos, respetando su diseño, función y procedimientos de seguridad.
Inspeccionar previamente las herramientas y equipos, detectando condiciones inseguras antes de su uso.
Promover el autocuidado y la responsabilidad individual, fortaleciendo una cultura de prevención frente al riesgo mecánico.</t>
  </si>
  <si>
    <t>Fortalecer las competencias de los trabajadores en gestión del estrés y cuidado de la salud mental, mediante la adopción de técnicas y estrategias prácticas que favorezcan el equilibrio entre la vida personal y laboral, promoviendo el bienestar integral y el desempeño seguro en el trabajo.</t>
  </si>
  <si>
    <t>Reconocer el estrés laboral y sus principales causas, identificando signos y síntomas físicos, emocionales y conductuales.
Aplicar técnicas básicas de manejo del estrés, que contribuyan al autocontrol emocional y al bienestar mental.
Desarrollar estrategias para equilibrar la vida personal y laboral, reduciendo el impacto del estrés en la salud y el desempeño.
Fomentar el autocuidado y la conciencia emocional, como factores clave para la prevención de afectaciones a la salud mental.
Promover ambientes laborales saludables, basados en el respeto, la comunicación y el apoyo mutuo.</t>
  </si>
  <si>
    <t>Dar a conocer al personal la importancia del reporte de incidentes y condiciones inseguras, fortaleciendo la construcción de una mentalidad proactiva de seguridad, basada en la participación, la prevención y el autocuidado, como parte de una cultura organizacional segura y saludable.</t>
  </si>
  <si>
    <t>Reconocer la importancia del reporte oportuno de incidentes y condiciones inseguras, como herramienta fundamental para la prevención de accidentes y enfermedades laborales.
Identificar barreras psicosociales que limitan el reporte (miedo, indiferencia, normalización del riesgo) y superarlas mediante una comunicación abierta y responsable.
Desarrollar una mentalidad proactiva de seguridad, anticipándose a los riesgos antes de que se materialicen en accidentes.
Fomentar la participación activa de los trabajadores, promoviendo la corresponsabilidad en la gestión de la seguridad y salud en el trabajo.
Fortalecer la conciencia individual y colectiva, integrando el comportamiento seguro en las actividades cotidianas.</t>
  </si>
  <si>
    <t>Dar a conocer al personal técnicas básicas para la atención inicial de emergencias derivadas de eventos ambientales (derrames de sustancias químicas) y accidentes biológicos, con el fin de reducir el impacto en la salud, el ambiente y la seguridad, mientras se activa el protocolo de emergencia correspondiente.</t>
  </si>
  <si>
    <t>Identificar situaciones de emergencia ambiental y biológica que puedan presentarse durante el desarrollo de las actividades laborales.
Reconocer las acciones iniciales seguras ante un derrame de sustancias químicas, evitando la exposición y la contaminación ambiental.
Aplicar medidas básicas de atención en caso de mordedura de serpiente o picadura de animales peligrosos.
Actuar de forma segura ante el contacto con plantas urticantes o venenosas, minimizando reacciones adversas.
Fortalecer la toma de decisiones bajo situaciones de emergencia, priorizando la autoprotección y la activación de los canales de reporte y atención.</t>
  </si>
  <si>
    <t>Dar a conocer a los trabajadores las actuaciones y técnicas básicas de primeros auxilios, evacuación y camillaje, aplicando el método PAS, que permitan la atención inmediata y segura de un lesionado que se encuentre en situación de riesgo, hasta la llegada de personal especializado.</t>
  </si>
  <si>
    <t>Reconocer situaciones de emergencia que requieran atención inmediata por accidentes asociados a riesgo de alturas, eléctrico, locativo y mecánico.
Aplicar correctamente el método PAS (Proteger, Avisar, Socorrer) como base de la atención inicial de emergencias.
Actuar de forma segura para proteger la escena y al lesionado, evitando riesgos adicionales para el rescatista y la víctima.
Ejecutar técnicas básicas de primeros auxilios, priorizando la atención inicial del lesionado.
Conocer técnicas seguras de evacuación y camillaje, de acuerdo con el tipo de lesión y el entorno del accidente.</t>
  </si>
  <si>
    <t>Fortalecer en los trabajadores las habilidades sociales y de comunicación asertiva, que les permitan crear vínculos positivos, mejorar la convivencia laboral y facilitar el compromiso colectivo con la seguridad y el autocuidado, contribuyendo a la prevención de accidentes asociados a riesgos locativos y mecánicos.</t>
  </si>
  <si>
    <t>Comprender el concepto de asertividad y su importancia en las relaciones laborales seguras.
Diferenciar los estilos de comunicación (pasivo, agresivo y asertivo) y su impacto en la seguridad.
Aplicar técnicas de comunicación asertiva, favoreciendo el diálogo respetuoso y constructivo frente a situaciones de riesgo.
Desarrollar habilidades sociales que promuevan el trabajo en equipo, la cooperación y el apoyo mutuo.
Facilitar la identificación y comunicación de riesgos locativos y mecánicos, promoviendo el autocuidado y el cuidado de los compañeros.</t>
  </si>
  <si>
    <t>Brindar a los trabajadores herramientas para la toma de decisiones seguras y la resolución efectiva de problemas, fortaleciendo la evaluación de riesgos en tiempo real mediante el pensamiento crítico, con el fin de minimizar errores humanos y prevenir accidentes de trabajo.</t>
  </si>
  <si>
    <t>Reconocer la importancia de la toma de decisiones en la gestión del riesgo, especialmente en actividades críticas del trabajo diario.
Aplicar técnicas de evaluación de riesgos en tiempo real, identificando peligros antes y durante la ejecución de las tareas.
Desarrollar el pensamiento crítico, analizando situaciones laborales y anticipando posibles consecuencias.
Identificar factores que favorecen el error humano, tales como la prisa, el exceso de confianza, la rutina y la distracción.
Implementar estrategias prácticas para minimizar errores humanos, promoviendo decisiones seguras y responsables.</t>
  </si>
  <si>
    <t>Dar a conocer a los trabajadores buenas prácticas y conductas seguras de movilidad, promoviendo el respeto de los roles en la vía, el cumplimiento de la normatividad de tránsito y la identificación de factores de riesgo, con el fin de prevenir incidentes y accidentes viales durante los desplazamientos laborales y personales.</t>
  </si>
  <si>
    <t>Reconocer los diferentes roles en la vía (peatón, pasajero, conductor) y sus responsabilidades en la seguridad vial.
Adoptar comportamientos seguros durante los desplazamientos, tanto en condición de peatón como de pasajero.
Fomentar el respeto por los demás actores viales, promoviendo una convivencia responsable y preventiva en la vía.
Conocer y aplicar la normatividad básica de tránsito, como parte del autocuidado y la cultura vial.
Identificar los factores de riesgo más comunes en la vía, que incrementan la probabilidad de incidentes y accidentes.</t>
  </si>
  <si>
    <t>Dar a conocer a los trabajadores las medidas de seguridad necesarias para prevenir accidentes por golpes de o contra objetos, durante actividades con riesgo de caída de objetos desde altura, almacenamiento de elementos y manipulación y desplazamiento de materiales en terrenos regulares o irregulares, contribuyendo a la reducción de accidentes en el mantenimiento de líneas de transmisión.</t>
  </si>
  <si>
    <t>Identificar los riesgos asociados a golpes por o contra objetos, presentes en las actividades de mantenimiento de líneas de transmisión.
Reconocer situaciones con riesgo de caída de objetos desde altura, derivadas del trabajo en estructuras, torres y postes.
Aplicar medidas de seguridad durante el almacenamiento de materiales y herramientas, evitando desplazamientos o caídas inesperadas.
Implementar prácticas seguras para la manipulación y traslado de materiales en terrenos inclinados, irregulares o de difícil acceso.
Fomentar el uso adecuado de elementos de protección personal (EPP) como medida preventiva frente a impactos y golpes.
Promover una actitud preventiva y de autocuidado, fortaleciendo la cultura de seguridad en actividades críticas.</t>
  </si>
  <si>
    <t>Dar recomendaciones de seguridad y medidas preventivas al personal para la identificación y el manejo seguro del riesgo biológico, incluyendo la exposición a bacterias, virus, hongos, vegetación urticante, venenosa o punzante y animales venenosos, con el fin de prevenir enfermedades, accidentes e impactos en la salud de los trabajadores.</t>
  </si>
  <si>
    <t>Identificar los principales riesgos biológicos a los que pueden estar expuestos durante el desarrollo de sus actividades laborales.
Reconocer la vegetación urticante, venenosa o punzante, y adoptar medidas preventivas para evitar el contacto.
Identificar animales venenosos o potencialmente peligrosos (serpientes, arañas, escorpiones, avispas, abejas) y aplicar comportamientos seguros.
Aplicar medidas de prevención ante posibles contagios de enfermedades infectocontagiosas, reduciendo la exposición y transmisión.
Conocer las recomendaciones básicas de actuación ante un contacto o exposición a un riesgo biológico.</t>
  </si>
  <si>
    <t>Dar a conocer a los trabajadores el riesgo asociado a la exposición al ruido, sus efectos en la salud auditiva, así como los cuidados y controles a implementar, con el fin de prevenir la pérdida de la audición y promover el autocuidado en el entorno laboral.</t>
  </si>
  <si>
    <t>Identificar el riesgo auditivo derivado de la exposición a fuentes de ruido presentes en el desarrollo de sus actividades.
Reconocer los efectos del ruido en la salud, incluyendo la pérdida auditiva temporal o permanente.
Conocer los límites de exposición al ruido y la importancia de su control.
Aplicar medidas de prevención y control, enfocadas en la reducción del ruido y la protección de la audición.
Utilizar correctamente los elementos de protección auditiva, garantizando su eficacia.
Promover hábitos de autocuidado auditivo, dentro y fuera del entorno laboral.</t>
  </si>
  <si>
    <t>Dar a conocer a los trabajadores la importancia de la higiene postural, las pausas activas y la calistenia, mediante la aplicación de técnicas y ejercicios preventivos, con el fin de disminuir la fatiga laboral y prevenir trastornos osteomusculares, promoviendo el bienestar y el desempeño seguro en el trabajo.</t>
  </si>
  <si>
    <t>Reconocer la importancia de la higiene postural durante la ejecución de las actividades laborales, tanto estáticas como dinámicas.
Identificar los riesgos ergonómicos asociados a malas posturas, movimientos repetitivos y sobreesfuerzos.
Aplicar pausas activas como estrategia preventiva para reducir la fatiga física y mental.
Realizar ejercicios de calistenia y estiramiento, contribuyendo a la movilidad, flexibilidad y fortalecimiento muscular.
Promover el autocuidado físico, integrando hábitos saludables a la rutina laboral diaria.</t>
  </si>
  <si>
    <t xml:space="preserve"> Informar y concienciar a los trabajadores sobre la importancia de los estilos de vida saludables en la prevención y el control de las enfermedades cardiovasculares y otras enfermedades crónicas, promoviendo el autocuidado, la salud integral y la reducción de factores de riesgo asociados al trabajo y a la vida cotidiana.</t>
  </si>
  <si>
    <t>Reconocer los principales factores de riesgo cardiovascular, asociados a hábitos de vida no saludables.
Identificar las enfermedades crónicas más frecuentes, tales como diabetes mellitus, hipertensión arterial, enfermedad pulmonar obstructiva crónica (EPOC), accidente cerebrovascular (ACV), obesidad, enfermedad hepática y trastornos derivados de la mala nutrición.
Comprender la relación entre los estilos de vida y la salud, destacando el impacto del sedentarismo, la alimentación inadecuada, el consumo de alcohol, el tabaquismo y el estrés.
Promover hábitos saludables, orientados a la prevención y control de enfermedades crónicas.
Fomentar la responsabilidad individual frente al autocuidado y el seguimiento médico preventivo</t>
  </si>
  <si>
    <t>Brindar herramientas prácticas a los trabajadores que les permitan reconocer, aplicar y mantener técnicas seguras en la manipulación y transporte de cargas, así como medidas preventivas frente a posturas forzadas, estáticas, prolongadas y trabajos repetitivos, con el fin de prevenir y controlar trastornos osteomusculares.</t>
  </si>
  <si>
    <t>Proporcionar a los trabajadores los conocimientos básicos y prácticos sobre señalización de seguridad y la realización de inspecciones de seguridad, que les permitan identificar los riesgos presentes en las diferentes áreas de la empresa, utilizar correctamente los formatos de inspección, y apoyar la implementación efectiva de las medidas de control.</t>
  </si>
  <si>
    <t>Dar a conocer a los trabajadores buenas prácticas y conductas seguras de movilidad, basadas en la normatividad vigente en tránsito y transporte, que les permitan desempeñar de manera segura su rol en la seguridad vial (conductor, peatón, pasajero o ciclista), fortalecer el concepto de vehículos seguros y analizar los factores de riesgo presentes en la vía, contribuyendo a la prevención de accidentes, lesiones y fatalidades viales.</t>
  </si>
  <si>
    <t>Capacitar al personal sobre el funcionamiento del oído humano, su anatomía y cuidado, así como la importancia del uso correcto, mantenimiento e higiene de los protectores auditivos, con el fin de prevenir daños auditivos, promover el autocuidado y fortalecer la cultura de seguridad y salud en el trabajo.</t>
  </si>
  <si>
    <t>Dar a conocer a los trabajadores la importancia de la alimentación sana y la actividad física regular como pilares fundamentales de un estilo de vida saludable, destacando su impacto positivo en el sistema inmunológico, la salud física y mental, el desempeño laboral y la calidad de vida, tanto dentro como fuera del entorno laboral.</t>
  </si>
  <si>
    <t>Fortalecer en los trabajadores las conductas seguras en la manipulación de herramientas de corte, promoviendo la correcta elección, uso, inspección y mantenimiento de las mismas, de acuerdo con la actividad a ejecutar, con el fin de prevenir accidentes de trabajo, lesiones graves y daños a equipos.</t>
  </si>
  <si>
    <t>Brindar a los trabajadores herramientas prácticas para la prevención y manejo del estrés, la ansiedad y la depresión, mediante el reconocimiento de los factores de riesgo psicosocial, promoviendo el autocuidado, el equilibrio emocional y el bienestar integral, que favorezca el desempeño laboral y la calidad de vida en los entornos laboral y personal.</t>
  </si>
  <si>
    <t>Capacitar y fortalecer los conocimientos del personal en los fundamentos de la Seguridad y Salud en el Trabajo, con el fin de prevenir accidentes laborales y enfermedades de origen laboral, garantizar el cumplimiento del marco legal vigente, promover el respeto por los derechos y responsabilidades de trabajadores y empleador, y resaltar la importancia del correcto diligenciamiento de la documentación del SG‑SST como herramienta preventiva y legal.</t>
  </si>
  <si>
    <t xml:space="preserve">Tema 1. Fundamentos de la seguridad y salud en el trabajo
( Incluye responsabilidad legal) </t>
  </si>
  <si>
    <t>Fortalecer conocimientos en los conceptos básicos de Seguridad y Salud en el Trabajo (SST).
Reconocer el marco legal aplicable en SST, incluyendo normas nacionales y los principios generales de la Norma ISO 45001.
Identificar los derechos y responsabilidades del trabajador y del empleador frente a la seguridad y salud en el trabajo ( incluyendo generalidades de tipo legal).
Comprender la importancia del correcto diligenciamiento y gestión de la documentación del SG‑SST.
Promover conductas seguras y una cultura de autocuidado y prevención</t>
  </si>
  <si>
    <t>Capacitar al personal en los principios, requisitos y responsabilidades establecidos en la Norma ISO 9001:2015, promoviendo la comprensión del Sistema de Gestión de la Calidad, la mejora continua y la orientación al cliente, asegurando la correcta aplicación de los procesos y el cumplimiento organizacional.</t>
  </si>
  <si>
    <t xml:space="preserve">Sistema de Gestión de la Calidad </t>
  </si>
  <si>
    <t>ISO 900:2015</t>
  </si>
  <si>
    <t>COODINADOR HSEQ</t>
  </si>
  <si>
    <t>OBJETIVOS ESPECÍFICOS</t>
  </si>
  <si>
    <t>Comprender qué es la ISO 9001 y para qué sirve
Reconocer su rol y responsabilidad dentro del Sistema de Gestión
Aplicar el enfoque basado en procesos y en riesgos
Contribuir a la satisfacción del cliente
Participar activamente en la mejora continua del SGC</t>
  </si>
  <si>
    <t>Comprender qué es un accidente de trabajo y qué es un incidente de trabajo.
Reconocer la importancia del reporte inmediato de accidentes e incidentes.
Conocer el tiempo de reporte por parte del trabajador (inmediato).
Identificar el rol y la participación del trabajador en la investigación de accidentes e incidentes.
 Fortalecer la cultura de prevención, autocuidado y reporte oportuno.</t>
  </si>
  <si>
    <t>Capacitar y fortalecer conocimientos en los métodos para observar actos y condiciones inseguras durante la ejecución de labores.
Aplicar técnicas de comunicación efectiva para reportar actos y condiciones inseguras de forma clara, oportuna y respetuosa.
Utilizar adecuadamente el formato de registro de observación establecido por la empresa.
Promover una cultura de prevención, autocuidado y reporte oportuno.</t>
  </si>
  <si>
    <t>Identificar los riesgos eléctricos asociados a trabajos en AT, MT y BT.
Comprender y aplicar las Reglas de Oro de la Seguridad Eléctrica.
 Reconocer la importancia de mantener distancias de seguridad mínimas.
Utilizar adecuadamente los equipos de control del riesgo eléctrico:
GPS, distanciómetro, pértigas, guantes dieléctricos, detectores de tensión, entre otros.
Aplicar medidas de control generales en áreas de trabajo, según tipo de personal (advertido, calificado).
 Diferenciar roles y responsabilidades del personal especialista y NO especialista.
 Realizar inspección de áreas de trabajo e identificación de condiciones eléctricas.
Reconocer y respetar las distancias de seguridad para cada tipo de personal.</t>
  </si>
  <si>
    <t xml:space="preserve"> Reconocer los riesgos ergonómicos presentes en las actividades del sector eléctrico y construcción.
Aplicar técnicas seguras de manipulación y transporte de cargas.
Implementar medidas preventivas frente a posturas forzadas, estáticas y prolongadas.
Identificar los riesgos asociados al trabajo repetitivo y aplicar prácticas de control.
Prevenir la aparición de trastornos osteomusculares mediante buenas prácticas ergonómicas.</t>
  </si>
  <si>
    <t>Capacitar y fortalecer conocimientos en los lineamientos para el reporte de accidentes, incidentes y actos inseguros.
Conocer y aplicar los requisitos de la Resolución 1401 de 2007 para la investigación de accidentes e incidentes de trabajo.
Aplicar correctamente el procedimiento PR‑HSEQ‑05 – Reporte e Investigación de Incidentes y Accidentes de Trabajo.
Reconocer la importancia del reporte oportuno e inmediato.
Participar activamente en el proceso de investigación como herramienta de prevención.</t>
  </si>
  <si>
    <t>Capacitar y fortalecer conocimientos en la planeación y aplicación de distancias de seguridad para personal especialista.
Aplicar técnicas de trabajo seguro en actividades eléctricas.
Identificar los peligros eléctricos presentes en trabajos en proximidad a redes.
Evaluar y valorar los riesgos asociados al trabajo en proximidad, de acuerdo con la matriz de riesgos y el método IPER.
Aplicar controles efectivos que reduzcan la probabilidad de contacto eléctrico o arco eléctrico.</t>
  </si>
  <si>
    <t xml:space="preserve"> Reconocer los riesgos osteomusculares asociados a la manipulación de cargas, posturas inadecuadas y tareas repetitivas.
Aplicar correctamente técnicas seguras de manipulación y transporte manual de cargas.
 Identificar posturas forzadas, estáticas y prolongadas, y adoptar posturas ergonómicas adecuadas.
Implementar medidas preventivas durante trabajos repetitivos.
 Participar activamente en la prevención de lesiones musculoesqueléticas en su puesto de trabajo.</t>
  </si>
  <si>
    <t xml:space="preserve"> Reconocer la importancia de la señalización como medida preventiva.
Identificar los tipos de señalización de seguridad y su correcta aplicación en el lugar de trabajo.
Comprender qué es una inspección de seguridad y por qué es fundamental para la prevención de accidentes.
Aplicar correctamente los formatos de inspección, diligenciándolos de forma clara y objetiva.
Identificar actos y condiciones inseguras durante las inspecciones.
Contribuir activamente en la propuesta y seguimiento de medidas de control.</t>
  </si>
  <si>
    <t>Reconocer la importancia de la seguridad vial en el ámbito laboral y cotidiano.
Identificar los roles de la seguridad vial y sus responsabilidades.
Aplicar principios de manejo defensivo para anticiparse y evitar incidentes en la vía.
 Verificar condiciones de vehículos seguros antes y durante la conducción.
Analizar los factores de riesgo viales (humanos, del vehículo y del entorno).
Adoptar comportamientos seguros conforme a la normatividad vigente de tránsito y transporte.</t>
  </si>
  <si>
    <t>Diferenciar un grupo de trabajo de un equipo de trabajo.
Comprender el concepto de sinergia positiva y su impacto en los resultados. Fortalecer las 5 C del trabajo en equipo enfocado en seguridad. 
Identificar los tipos de sinergia y su presencia en el entorno laboral.
Desarrollar habilidades básicas para la toma de decisiones en equipo.
Promover el compromiso individual y colectivo con las normas de seguridad y los objetivos comunes.</t>
  </si>
  <si>
    <t>Comprender el funcionamiento del sistema auditivo y cómo se produce la audición.
Identificar la anatomía del oído (oído externo, medio e interno).
Reconocer los efectos del ruido sobre la audición y la salud.
Aplicar buenas prácticas para el cuidado del oído.
Usar correctamente los protectores auditivos según el tipo de riesgo.
Realizar una adecuada limpieza, almacenamiento e higiene de la protección auditiva.</t>
  </si>
  <si>
    <t>Reconocer los beneficios de una alimentación equilibrada y la actividad física para la salud integral.
Comprender cómo el ejercicio y una dieta saludable fortalecen el sistema inmunológico.
Identificar hábitos alimenticios saludables aplicables a la rutina laboral y diaria.
Conocer recomendaciones básicas de actividad física de acuerdo con su condición y tipo de trabajo.
Adoptar prácticas de autocuidado que contribuyan a la prevención de enfermedades y al mejoramiento de la calidad de vida.</t>
  </si>
  <si>
    <t>Reconocer una emergencia por riesgo eléctrico y actuar de forma segura.
Identificar los efectos de una descarga eléctrica en el cuerpo humano.
Aplicar los protocolos básicos de primeros auxilios al electrocutado.
Reconocer y atender quemaduras eléctricas, evitando errores comunes.
Activar correctamente la cadena de atención de emergencias.
Proteger su propia integridad durante la atención de la emergencia.</t>
  </si>
  <si>
    <t>Identificar los riesgos asociados al uso de herramientas de corte.
Seleccionar la herramienta adecuada según la actividad y el entorno.
Aplicar técnicas seguras de uso, transporte y almacenamiento.
Reconocer y corregir actos y condiciones inseguras.
Usar correctamente los Elementos de Protección Personal (EPP).
Realizar inspecciones básicas y mantenimiento preventivo.</t>
  </si>
  <si>
    <t>Comprender qué son los factores de riesgo psicosocial y su impacto en la salud.
Identificar signos tempranos de estrés, ansiedad y depresión.
Reconocer factores psicosociales presentes en el trabajo y la vida cotidiana.
Aplicar estrategias prácticas de prevención y manejo emocional.
Fortalecer habilidades de autocuidado, comunicación y afrontamiento.
Conocer cuándo y cómo buscar apoyo oportuno.</t>
  </si>
  <si>
    <t>Identificar los tipos de peligros presentes en el proyecto (físicos, químicos, biológicos, ergonómicos, psicosociales, mecánicos, eléctricos, locativos, públicos y naturales), de acuerdo con la matriz de riesgos del proyecto.
 Reconocer los peligros críticos y prioritarios en actividades del sector eléctrico y de la construcción.
 Comprender los métodos para identificar peligros en campo y en planeación de trabajos.
 Aplicar criterios básicos para evaluar riesgos (probabilidad, consecuencia y nivel de riesgo).
identificar y establecer controles adecuados siguiendo la jerarquía de control.</t>
  </si>
  <si>
    <t>Capacitar y fortalecer los conocimientos del  en la Identificación de Peligros y Evaluación de Riesgos (IPER), con el fin de reconocer los peligros presentes en las actividades del proyecto, evaluar los riesgos asociados de acuerdo con la matriz de riesgos, y aplicar medidas de control eficaces que permitan prevenir accidentes de trabajo, enfermedades laborales y eventos graves o fatales.</t>
  </si>
  <si>
    <t>Capacitar y fortalecer los conocimientos sobre el reporte oportuno de accidentes e incidentes de trabajo, con el fin de prevenir la repetición de eventos, mejorar las condiciones de seguridad, cumplir con los requisitos legales y promover la participación activa de los trabajadores en la investigación de los eventos.</t>
  </si>
  <si>
    <t>Capacitar y fortalecer los conocimientos del personal en las técnicas de observación y reporte de actos y condiciones inseguras, con el fin de identificar oportunamente situaciones de riesgo, comunicarlas de manera efectiva y registrar correctamente la información, contribuyendo así a la prevención de accidentes de trabajo y enfermedades laborales</t>
  </si>
  <si>
    <t>Capacitar y fortalecer los conocimientos , brindando herramientas prácticas para conocer y aplicar técnicas seguras en la manipulación y transporte de cargas, así como medidas preventivas frente a posturas forzadas, estáticas, prolongadas y trabajos repetitivos, con el fin de prevenir y controlar los trastornos osteomusculares y proteger la salud de los trabajadores.</t>
  </si>
  <si>
    <t>Capacitar y fortalecer los conocimientos proporcionando herramientas para la identificación de riesgos eléctricos, resaltando la importancia del cumplimiento de las Reglas de Oro, el respeto de las distancias mínimas de seguridad, y el uso adecuado de equipos de control como medida preventiva, para garantizar la ejecución segura de actividades en Alta, Media y Baja Tensión, conforme a los procedimientos establecidos y la normativa vigente.</t>
  </si>
  <si>
    <t>Capacitar y fortalecer los conocimientos sobre los lineamientos para el reporte e investigación de accidentes, incidentes y actos inseguros, asegurando el cumplimiento de la Resolución 1401 de 2007 y del procedimiento interno PR‑HSEQ‑05, con el fin de identificar causas, prevenir la repetición de eventos y mejorar las condiciones de seguridad y salud en el trabajo.</t>
  </si>
  <si>
    <t>Capacitar y fortalecer los conocimientos en seguridad eléctrica, mediante la planeación y aplicación de distancias de seguridad, el uso de técnicas de trabajo seguro y la identificación, evaluación y valoración de riesgos en actividades realizadas en proximidad a redes eléctricas, con el fin de prevenir accidentes graves o fatales y garantizar el cumplimiento de los procedimientos establecidos.</t>
  </si>
  <si>
    <t>Capacitar y fortalecer los conocimientos del personal enl liderazgo inspirador o transformacional, brindando herramientas que permitan incentivar cambios de comportamiento orientados a la ejecución de actividades seguras y a la generación de ambientes de trabajo saludables.</t>
  </si>
  <si>
    <t xml:space="preserve">
Capacitar y fortalecer los conocimientos del personal sobre los riesgos sociopolíticos presentes en el entorno laboral, dando a conocer las principales amenazas y las medidas de seguridad a aplicar ante situaciones de riesgo como presencia de artefactos explosivos, conflicto armado o social, secuestro, extorsión, hurto calificado u otros eventos asociados.</t>
  </si>
  <si>
    <t>Capacitar y fortalecer los conocimientos del personal, promoviendo una cultura de seguridad basada en la prevención de riesgos, el autocuidado y el cumplimiento de las normas de seguridad, con el fin de reducir accidentes e incidentes de trabaj</t>
  </si>
  <si>
    <t>Capacitar a los trabajadores para prevenir y controlar con seguridad conatos de incendio, mediante el uso adecuado de extintores, la identificación de rutas de evacuación seguras y la correcta aplicación de los procedimientos de evacuación, con el fin de proteger la vida y minimizar daños durante una emergencia.</t>
  </si>
  <si>
    <t>Identificar los riesgos de incendio presentes en su área de trabajo.
Reconocer los tipos de fuego y el extintor adecuado para cada caso.
Aplicar correctamente la técnica de uso del extintor de forma segura.
Actuar de manera rápida y ordenada ante un conato de incendio.
Identificar y utilizar las rutas de evacuación seguras establecidas.
Ejecutar el procedimiento de evacuación sin generar pánico.
Reconocer cuándo intentar controlar el fuego y cuándo evacuar de inmediato.
Seguir las instrucciones de las brigadas y líderes de evacuación.
Contribuir a la protección de la vida y reducción de daños durante una emergencia.</t>
  </si>
  <si>
    <t>Fortalecer y motivar en los trabajadores el desarrollo de una conciencia activa en seguridad y salud en el trabajo, fortaleciendo sus habilidades blandas y su rol como líderes en seguridad, integrando comportamientos seguros en el desarrollo de sus actividades cotidianas.</t>
  </si>
  <si>
    <t>Reconocer la importancia de la Seguridad y Salud en el Trabajo como parte de su responsabilidad individual y colectiva.
Desarrollar una conciencia activa en seguridad, aplicando el autocuidado en sus actividades diarias.
Identificar su rol como líder en seguridad, independientemente de su cargo o función.
Fortalecer habilidades blandas clave como la comunicación efectiva, el trabajo en equipo y la empatía.
Promover y reforzar comportamientos seguros en sí mismos y en sus compañeros de trabajo.
Comunicar de manera asertiva actos y condiciones inseguras.
Participar activamente en la prevención de accidentes e incidentes.
Integrar la seguridad como un valor permanente en el desarrollo de sus labores cotidiana</t>
  </si>
  <si>
    <t>Fortalecer en el personal la habilidad de identificar riesgos y peligros durante el desplazamiento por terrenos irregulares, promoviendo la importancia del orden y aseo en los sitios de trabajo, elementos distractores, tecnicas de desplazamiento con el fin de generar controles efectivos que permitan disminuir el riesgo de caídas a nivel.</t>
  </si>
  <si>
    <t>Identificar los riesgos asociados a caídas a nivel, presentes durante el desplazamiento por superficies irregulares, húmedas, desordenadas o mal señalizadas.
Reconocer los peligros generados por la falta de orden y aseo, como materiales mal ubicados, residuos, cables, material vegetal, , herramientas en las áreas de tránsito y uso de elementos distractores como el celular.
Desarrollar una actitud preventiva frente a las condiciones del entorno, anticipándose a situaciones que puedan causar caídas.
Técncias basicas para desplazamiento por terrenos irregulares
Aplicar acciones de control relacionadas con el orden, el aseo y la señalización adecuada de los sitios de trabajo.
Promover el autocuidado y el cuidado colectivo, entendiendo que el orden y el aseo y evitar elementos distractores son responsabilidad de todos.</t>
  </si>
  <si>
    <t>Promover el cuidado de la salud visual de los trabajadores mediante la identificación de riesgos que afectan la visión, la adopción de hábitos visuales saludables y el uso adecuado de protección visual, con el fin de prevenir enfermedades, fatiga visual y accidentes en el entorno laboral y extralaboral.</t>
  </si>
  <si>
    <t>Reconocer los factores de riesgo visual presentes en su puesto de trabajo.
Identificar síntomas de fatiga visual y alteraciones de la visión.
Aplicar buenas prácticas de cuidado visual, especialmente frente a pantallas, iluminación y tareas de precisión.
Utilizar de manera correcta los elementos de protección visual según la actividad desempeñada.
Adoptar hábitos preventivos para disminuir el cansancio visual y proteger la salud ocular.
Comprender la importancia de los controles médicos visuales periódicos.
Contribuir a un ambiente de trabajo más seguro y saludable mediante el autocuidado visual.</t>
  </si>
  <si>
    <t xml:space="preserve">Fortalecer en los colaboradores las habilidades necesarias para generar sinergia positiva,desarrollando las 5 C del trabajo en equipo (Comunicación.,Coordinación.Complementariedad, Confianza, Compromiso con cumplimiento normas de seguridad) , reconociendo los tipos de sinergia y mejorando la toma de decisiones, con el fin de potenciar el trabajo conjunto, el compromiso colectivo y el cumplimiento de las normas de seguridad. </t>
  </si>
  <si>
    <t>Capacitar a los trabajadores en la gestión de emergencias y atención en primeros auxilios frente a accidentes por riesgo eléctrico, proporcionando los conocimientos básicos y procedimientos seguros para la atención inicial del electrocutado y manejo de quemaduras, con el fin de reducir la gravedad de las lesiones, prevenir complicaciones y salvar vidas como parte de la atención previa a la médica especializada.</t>
  </si>
  <si>
    <t>Conocer las políticas, objetivos y lineamientos del Sistema de Gestión de Seguridad y Salud en el Trabajo (SG‑SST) y su aplicación en SD SAS.
Identificar los riesgos generales presentes en la empresa, incluyendo riesgos físicos, mecánicos, locativos, químicos, biológicos, biomecánicos, psicosociales y viales.
Reconocer los riesgos eléctricos asociados a sus funciones y las medidas de prevención y control establecidas.
Identificar los riesgos específicos en actividades de poda, tala e intervención de vegetación, especialmente en cercanías a redes eléctricas.
Aplicar las acciones preventivas del SG‑SST, tales como reporte de condiciones inseguras, cumplimiento de procedimientos y uso adecuado del EPP.
Reconocer sus derechos, deberes y responsabilidades frente a la Seguridad y Salud en el Trabajo.
Identificar y aplicar los procedimientos de trabajo seguro relacionados con riesgo eléctrico, uso de herramientas y trabajo en campo.
Conocer los mecanismos de reporte de accidentes, incidentes, actos y condiciones inseguras.
Identificar las rutas de evacuación, puntos de encuentro y roles en el plan de emergencias.
Aplicar prácticas de autocuidado y comportamiento seguro durante la ejecución de sus actividades laborales.
Fortalecer la cultura de prevención, participando activamente en las acciones del SG‑SST.</t>
  </si>
  <si>
    <t>PLAN DE CAPACITACION SG-SST</t>
  </si>
  <si>
    <t>Fecha de aprobación:
06 enero de 2026</t>
  </si>
  <si>
    <t>Versión:
06</t>
  </si>
  <si>
    <t xml:space="preserve">Fecha inicio actividades operativas en el periodo </t>
  </si>
  <si>
    <t>Manipulación segura de herramientas y equipos</t>
  </si>
  <si>
    <t>Tema habilitación(AD)</t>
  </si>
  <si>
    <t>Señalizacion y tipos de señalizacion:  Inspecciones ( formatos y correcto diligenciamiento)</t>
  </si>
  <si>
    <t>Capacitar y fortalecer los conocimientos  para la identificación de peligros, aplicación de controles y planeación segura en actividades de intervención y mantenimiento de vegetación, garantizando la ejecución segura de los trabajos asociados a obras que incluyan o no actividades a proximidad a redes eléctricas energizadas o sin tensión, de acuerdo con los procedimientos establecidos y el control del riesgo eléctrico.</t>
  </si>
  <si>
    <t xml:space="preserve">
Intervención vegetación ( obras):
Tema 1. Identificación de peligros, controles planeación segura</t>
  </si>
  <si>
    <t>Reconocer los peligros asociados a la intervención y mantenimiento de vegetación en diferentes entornos.
Aplicar medidas de control adecuadas para minimizar riesgos durante la ejecución de las actividades.
Planear de manera segura las tareas de mantenimiento, considerando condiciones del entorno y cercanía a redes eléctricas.
Fortalecer la cultura de seguridad en el equipo de trabajo, promoviendo la prevención y el autocuidado.
Garantizar el cumplimiento de los procedimientos establecidos y normativas vigentes en materia de seguridad eléctrica.
Desarrollar habilidades prácticas para la toma de decisiones seguras en situaciones de riesgo eléctrico.</t>
  </si>
  <si>
    <t>Tema 2. 'Liderazgo Inspirador: Empoderamiento liderazgo en comportamientos seguros – Liderazgo Transformacional</t>
  </si>
  <si>
    <t>ESSA- OBRAS</t>
  </si>
  <si>
    <t>KELLY CALLE</t>
  </si>
  <si>
    <t>Trabajo seguro en obras civiles ( incluye excavación)</t>
  </si>
  <si>
    <t>Reconocer los peligros y riesgos críticos asociados a excavaciones y obras civiles en torres de transmisión.
Aplicar medidas de control para prevenir derrumbes, atrapamientos, caídas, atropellos y otros incidentes graves.
Interpretar y cumplir los procedimientos de trabajo seguro, permisos de excavación y análisis de riesgos .
Utilizar correctamente los equipos de protección personal (EPP) requeridos para cada actividad.
Identificar condiciones inseguras del terreno, clima y entorno que puedan afectar la estabilidad de excavaciones.
Garantizar el uso seguro de maquinaria y herramientas en actividades de obra civil.
Actuar adecuadamente frente a situaciones de emergencia, como derrumbes, inundaciones o rescates en excavaciones.
Promover una cultura preventiva, responsabilidad individual y trabajo seguro en campo.</t>
  </si>
  <si>
    <t>Fortalecer en los trabajadores practicas seguras en la ejecución actividades de obra civil con el fin pueda identificar riesgos,peligros y controles establecidos, uso correcto de epp, uso seguro de herramientas y equipos asignados para la operación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</si>
</sst>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4"/>
      <color theme="1"/>
      <name val="Calibri"/>
      <family val="2"/>
      <scheme val="minor"/>
    </font>
    <font>
      <b/>
      <sz val="18"/>
      <color theme="1"/>
      <name val="Calibri"/>
      <family val="2"/>
      <scheme val="minor"/>
    </font>
    <font>
      <sz val="9"/>
      <color theme="1"/>
      <name val="Calibri"/>
      <family val="2"/>
      <scheme val="minor"/>
    </font>
    <font>
      <b/>
      <sz val="14"/>
      <color theme="1"/>
      <name val="Franklin Gothic Medium"/>
      <family val="2"/>
    </font>
    <font>
      <sz val="8"/>
      <name val="Calibri"/>
      <family val="2"/>
      <scheme val="minor"/>
    </font>
    <font>
      <sz val="11"/>
      <color rgb="FFC00000"/>
      <name val="Calibri"/>
      <family val="2"/>
      <scheme val="minor"/>
    </font>
    <font>
      <b/>
      <sz val="12"/>
      <color theme="1"/>
      <name val="Arial"/>
      <family val="2"/>
    </font>
    <font>
      <b/>
      <sz val="14"/>
      <color rgb="FFC00000"/>
      <name val="Arial"/>
      <family val="2"/>
    </font>
    <font>
      <b/>
      <sz val="14"/>
      <name val="Arial"/>
      <family val="2"/>
    </font>
    <font>
      <b/>
      <sz val="12"/>
      <color rgb="FFC00000"/>
      <name val="Arial"/>
      <family val="2"/>
    </font>
    <font>
      <b/>
      <sz val="18"/>
      <color rgb="FFC00000"/>
      <name val="Franklin Gothic Medium"/>
      <family val="2"/>
    </font>
    <font>
      <sz val="12"/>
      <color theme="0"/>
      <name val="Arial"/>
      <family val="2"/>
    </font>
    <font>
      <b/>
      <sz val="11"/>
      <name val="Calibri"/>
      <family val="2"/>
      <scheme val="minor"/>
    </font>
    <font>
      <sz val="12"/>
      <color theme="1"/>
      <name val="Tahoma"/>
      <family val="2"/>
    </font>
    <font>
      <b/>
      <sz val="12"/>
      <color theme="1"/>
      <name val="Tahoma"/>
      <family val="2"/>
    </font>
    <font>
      <sz val="12"/>
      <color theme="0"/>
      <name val="Tahoma"/>
      <family val="2"/>
    </font>
    <font>
      <b/>
      <sz val="12"/>
      <color rgb="FFC00000"/>
      <name val="Tahoma"/>
      <family val="2"/>
    </font>
    <font>
      <b/>
      <sz val="12"/>
      <name val="Tahoma"/>
      <family val="2"/>
    </font>
    <font>
      <sz val="12"/>
      <name val="Tahoma"/>
      <family val="2"/>
    </font>
    <font>
      <sz val="12"/>
      <color rgb="FF00B050"/>
      <name val="Tahoma"/>
      <family val="2"/>
    </font>
  </fonts>
  <fills count="6">
    <fill>
      <patternFill patternType="none"/>
    </fill>
    <fill>
      <patternFill patternType="gray125"/>
    </fill>
    <fill>
      <patternFill patternType="solid">
        <fgColor rgb="FFE76111"/>
        <bgColor indexed="64"/>
      </patternFill>
    </fill>
    <fill>
      <patternFill patternType="solid">
        <fgColor rgb="FF009DD8"/>
        <bgColor indexed="64"/>
      </patternFill>
    </fill>
    <fill>
      <patternFill patternType="solid">
        <fgColor rgb="FFC00000"/>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86">
    <xf numFmtId="0" fontId="0" fillId="0" borderId="0" xfId="0"/>
    <xf numFmtId="0" fontId="0" fillId="0" borderId="0" xfId="0" applyAlignment="1">
      <alignment wrapText="1"/>
    </xf>
    <xf numFmtId="0" fontId="0" fillId="0" borderId="0" xfId="0" applyAlignment="1">
      <alignment horizontal="left"/>
    </xf>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wrapText="1"/>
    </xf>
    <xf numFmtId="14" fontId="0" fillId="0" borderId="0" xfId="0" applyNumberFormat="1"/>
    <xf numFmtId="0" fontId="0" fillId="0" borderId="0" xfId="0" applyAlignment="1">
      <alignment horizontal="center" vertical="center"/>
    </xf>
    <xf numFmtId="9" fontId="0" fillId="0" borderId="1" xfId="0" applyNumberFormat="1" applyBorder="1" applyAlignment="1">
      <alignment horizontal="center" vertical="center"/>
    </xf>
    <xf numFmtId="0" fontId="0" fillId="0" borderId="0" xfId="0" applyAlignment="1">
      <alignment vertical="center" wrapText="1"/>
    </xf>
    <xf numFmtId="9" fontId="0" fillId="0" borderId="0" xfId="0" applyNumberFormat="1" applyAlignment="1">
      <alignment horizontal="center" vertical="center" wrapText="1"/>
    </xf>
    <xf numFmtId="9" fontId="2" fillId="0" borderId="0" xfId="0" applyNumberFormat="1" applyFont="1" applyAlignment="1">
      <alignment horizontal="center" vertical="center" wrapText="1"/>
    </xf>
    <xf numFmtId="14" fontId="0" fillId="0" borderId="0" xfId="0" applyNumberFormat="1" applyAlignment="1">
      <alignment horizontal="center" vertical="center"/>
    </xf>
    <xf numFmtId="1" fontId="0" fillId="0" borderId="0" xfId="0" applyNumberFormat="1"/>
    <xf numFmtId="0" fontId="0" fillId="0" borderId="0" xfId="0" pivotButton="1"/>
    <xf numFmtId="9" fontId="0" fillId="0" borderId="0" xfId="0" applyNumberFormat="1"/>
    <xf numFmtId="9" fontId="0" fillId="0" borderId="1" xfId="1" applyFont="1" applyBorder="1"/>
    <xf numFmtId="0" fontId="1" fillId="0" borderId="0" xfId="0" applyFont="1"/>
    <xf numFmtId="0" fontId="0" fillId="0" borderId="0" xfId="0" applyAlignment="1">
      <alignment horizontal="center"/>
    </xf>
    <xf numFmtId="0" fontId="8" fillId="0" borderId="0" xfId="0" applyFont="1" applyAlignment="1">
      <alignment horizontal="center" vertical="center"/>
    </xf>
    <xf numFmtId="0" fontId="1" fillId="0" borderId="0" xfId="0" applyFont="1" applyAlignment="1">
      <alignment horizontal="left" vertical="top"/>
    </xf>
    <xf numFmtId="0" fontId="7" fillId="0" borderId="0" xfId="0" applyFont="1" applyAlignment="1">
      <alignment horizontal="center" vertical="center"/>
    </xf>
    <xf numFmtId="0" fontId="1" fillId="0" borderId="0" xfId="0" applyFont="1" applyAlignment="1">
      <alignment vertical="top"/>
    </xf>
    <xf numFmtId="10" fontId="0" fillId="0" borderId="0" xfId="0" applyNumberFormat="1"/>
    <xf numFmtId="0" fontId="6" fillId="0" borderId="0" xfId="0" applyFont="1" applyAlignment="1">
      <alignment vertical="center" wrapText="1"/>
    </xf>
    <xf numFmtId="9" fontId="0" fillId="0" borderId="1" xfId="0" applyNumberFormat="1" applyBorder="1"/>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9" fillId="0" borderId="0" xfId="0" applyFont="1" applyAlignment="1">
      <alignment vertical="center" wrapText="1"/>
    </xf>
    <xf numFmtId="0" fontId="11" fillId="0" borderId="0" xfId="0" applyFont="1" applyAlignment="1">
      <alignment horizontal="left"/>
    </xf>
    <xf numFmtId="0" fontId="12" fillId="0" borderId="0" xfId="0" applyFont="1" applyAlignment="1">
      <alignment vertical="center" wrapText="1"/>
    </xf>
    <xf numFmtId="0" fontId="17" fillId="2" borderId="1" xfId="0" applyFont="1" applyFill="1" applyBorder="1"/>
    <xf numFmtId="0" fontId="18" fillId="5" borderId="1" xfId="0" applyFont="1" applyFill="1" applyBorder="1" applyAlignment="1">
      <alignment horizontal="center"/>
    </xf>
    <xf numFmtId="0" fontId="5" fillId="4" borderId="1" xfId="0" applyFont="1" applyFill="1" applyBorder="1"/>
    <xf numFmtId="0" fontId="20" fillId="0" borderId="1" xfId="0" applyFont="1" applyBorder="1" applyAlignment="1">
      <alignment horizontal="center" vertical="center" wrapText="1"/>
    </xf>
    <xf numFmtId="0" fontId="19" fillId="0" borderId="1" xfId="0" applyFont="1" applyBorder="1" applyAlignment="1">
      <alignment horizontal="center" vertical="center"/>
    </xf>
    <xf numFmtId="0" fontId="19" fillId="0" borderId="0" xfId="0" applyFont="1" applyAlignment="1">
      <alignment vertical="center"/>
    </xf>
    <xf numFmtId="0" fontId="21" fillId="4" borderId="1" xfId="0" applyFont="1" applyFill="1" applyBorder="1" applyAlignment="1">
      <alignment horizontal="center" vertical="center" wrapText="1"/>
    </xf>
    <xf numFmtId="0" fontId="21" fillId="4" borderId="1" xfId="0" applyFont="1" applyFill="1" applyBorder="1" applyAlignment="1">
      <alignment horizontal="center" vertical="center"/>
    </xf>
    <xf numFmtId="0" fontId="19" fillId="0" borderId="0" xfId="0" applyFont="1" applyAlignment="1">
      <alignment horizontal="center"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quotePrefix="1" applyFont="1" applyBorder="1" applyAlignment="1">
      <alignment horizontal="center" vertical="center" wrapText="1"/>
    </xf>
    <xf numFmtId="0" fontId="24" fillId="0" borderId="1" xfId="0" applyFont="1" applyBorder="1" applyAlignment="1">
      <alignment horizontal="center" vertical="center" wrapText="1"/>
    </xf>
    <xf numFmtId="9" fontId="24" fillId="0" borderId="1" xfId="1" applyFont="1" applyBorder="1" applyAlignment="1">
      <alignment horizontal="center" vertical="center" wrapText="1"/>
    </xf>
    <xf numFmtId="0" fontId="24" fillId="0" borderId="1" xfId="0" applyFont="1" applyBorder="1" applyAlignment="1">
      <alignment horizontal="center" vertical="center"/>
    </xf>
    <xf numFmtId="0" fontId="24" fillId="0" borderId="0" xfId="0" applyFont="1" applyAlignment="1">
      <alignment vertical="center"/>
    </xf>
    <xf numFmtId="0" fontId="19" fillId="0" borderId="1" xfId="0" applyFont="1" applyBorder="1" applyAlignment="1">
      <alignment horizontal="center" vertical="center" wrapText="1"/>
    </xf>
    <xf numFmtId="0" fontId="19" fillId="0" borderId="1" xfId="0" quotePrefix="1" applyFont="1" applyBorder="1" applyAlignment="1">
      <alignment horizontal="center" vertical="center" wrapText="1"/>
    </xf>
    <xf numFmtId="0" fontId="19" fillId="0" borderId="0" xfId="0" applyFont="1" applyAlignment="1">
      <alignment horizontal="center" vertical="center" wrapText="1"/>
    </xf>
    <xf numFmtId="0" fontId="22" fillId="0" borderId="3" xfId="0" applyFont="1" applyBorder="1" applyAlignment="1">
      <alignment horizontal="center" vertical="center" wrapText="1"/>
    </xf>
    <xf numFmtId="0" fontId="24" fillId="0" borderId="6" xfId="0" applyFont="1" applyBorder="1" applyAlignment="1">
      <alignment horizontal="center" vertical="center" wrapText="1"/>
    </xf>
    <xf numFmtId="9" fontId="24" fillId="0" borderId="6" xfId="0" applyNumberFormat="1" applyFont="1" applyBorder="1" applyAlignment="1">
      <alignment horizontal="center" vertical="center" wrapText="1"/>
    </xf>
    <xf numFmtId="0" fontId="24" fillId="0" borderId="6" xfId="0" applyFont="1" applyBorder="1" applyAlignment="1">
      <alignment horizontal="center" vertical="center"/>
    </xf>
    <xf numFmtId="0" fontId="23" fillId="0" borderId="6"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xf>
    <xf numFmtId="0" fontId="25" fillId="0" borderId="0" xfId="0" applyFont="1" applyAlignment="1">
      <alignment horizontal="center" vertical="center"/>
    </xf>
    <xf numFmtId="0" fontId="22" fillId="0" borderId="9" xfId="0" applyFont="1" applyBorder="1" applyAlignment="1">
      <alignment horizontal="center" vertical="center" wrapText="1"/>
    </xf>
    <xf numFmtId="0" fontId="24" fillId="0" borderId="1" xfId="0" applyNumberFormat="1" applyFont="1" applyBorder="1" applyAlignment="1">
      <alignment horizontal="center" vertical="center"/>
    </xf>
    <xf numFmtId="9" fontId="24" fillId="0" borderId="1" xfId="1" applyNumberFormat="1" applyFont="1" applyBorder="1" applyAlignment="1">
      <alignment horizontal="center" vertical="center" wrapText="1"/>
    </xf>
    <xf numFmtId="0" fontId="20" fillId="0" borderId="1" xfId="0" quotePrefix="1" applyFont="1" applyBorder="1" applyAlignment="1">
      <alignment horizontal="center" vertical="center" wrapText="1"/>
    </xf>
    <xf numFmtId="0" fontId="20" fillId="0" borderId="6" xfId="0" applyFont="1" applyBorder="1" applyAlignment="1">
      <alignment horizontal="center" vertical="center"/>
    </xf>
    <xf numFmtId="0" fontId="13" fillId="0" borderId="7" xfId="0" applyFont="1" applyBorder="1" applyAlignment="1">
      <alignment horizontal="center" vertical="center"/>
    </xf>
    <xf numFmtId="0" fontId="13" fillId="0" borderId="3" xfId="0" applyFont="1" applyBorder="1" applyAlignment="1">
      <alignment horizontal="center" vertical="center"/>
    </xf>
    <xf numFmtId="0" fontId="13" fillId="0" borderId="8" xfId="0" applyFont="1" applyBorder="1" applyAlignment="1">
      <alignment horizontal="center" vertical="center"/>
    </xf>
    <xf numFmtId="0" fontId="13" fillId="0" borderId="5" xfId="0" applyFont="1" applyBorder="1" applyAlignment="1">
      <alignment horizontal="center" vertical="center"/>
    </xf>
    <xf numFmtId="0" fontId="0" fillId="0" borderId="7" xfId="0"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8" xfId="0"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1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9"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19"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horizontal="center" vertical="center"/>
    </xf>
  </cellXfs>
  <cellStyles count="2">
    <cellStyle name="Normal" xfId="0" builtinId="0"/>
    <cellStyle name="Porcentaje" xfId="1" builtinId="5"/>
  </cellStyles>
  <dxfs count="41">
    <dxf>
      <fill>
        <patternFill>
          <bgColor theme="0" tint="-4.9989318521683403E-2"/>
        </patternFill>
      </fill>
    </dxf>
    <dxf>
      <fill>
        <patternFill>
          <bgColor theme="0" tint="-4.9989318521683403E-2"/>
        </patternFill>
      </fill>
    </dxf>
    <dxf>
      <font>
        <color rgb="FFC00000"/>
      </font>
    </dxf>
    <dxf>
      <numFmt numFmtId="1" formatCode="0"/>
    </dxf>
    <dxf>
      <numFmt numFmtId="13" formatCode="0%"/>
      <alignment horizontal="center"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2"/>
        <color auto="1"/>
        <name val="Tahoma"/>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Tahoma"/>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outline val="0"/>
        <shadow val="0"/>
        <u val="none"/>
        <vertAlign val="baseline"/>
        <sz val="12"/>
        <color rgb="FFC00000"/>
        <name val="Tahoma"/>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indent="0" justifyLastLine="0" shrinkToFit="0" readingOrder="0"/>
    </dxf>
    <dxf>
      <border>
        <bottom style="thin">
          <color indexed="64"/>
        </bottom>
      </border>
    </dxf>
    <dxf>
      <font>
        <strike val="0"/>
        <outline val="0"/>
        <shadow val="0"/>
        <u val="none"/>
        <vertAlign val="baseline"/>
        <sz val="12"/>
        <color theme="0"/>
        <name val="Tahoma"/>
        <family val="2"/>
        <scheme val="none"/>
      </font>
      <fill>
        <patternFill patternType="solid">
          <fgColor indexed="64"/>
          <bgColor rgb="FFC00000"/>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i val="0"/>
      </font>
      <fill>
        <patternFill>
          <bgColor rgb="FFC00000"/>
        </patternFill>
      </fill>
    </dxf>
  </dxfs>
  <tableStyles count="1" defaultTableStyle="TableStyleMedium2" defaultPivotStyle="PivotStyleLight16">
    <tableStyle name="Estilo de tabla 1" pivot="0" count="1" xr9:uid="{742E1F97-6EA1-44BB-B364-9515F7488B21}">
      <tableStyleElement type="wholeTable" dxfId="40"/>
    </tableStyle>
  </tableStyles>
  <colors>
    <mruColors>
      <color rgb="FFE76111"/>
      <color rgb="FF009DD8"/>
      <color rgb="FF00324E"/>
      <color rgb="FFF6B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[FT-HSEQ-120_PC_V06_MANTENIMIENTO_ESSA_OBRAS.xlsx]VALID_2!TablaDinámica2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CUMPLIMIENTO</a:t>
            </a:r>
            <a:r>
              <a:rPr lang="en-US" baseline="0"/>
              <a:t> POR PROGRAMA / PRIORDAD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VALID_2!$C$4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VALID_2!$B$5:$B$27</c:f>
              <c:strCache>
                <c:ptCount val="22"/>
                <c:pt idx="0">
                  <c:v>MATRIZ DE PELIGROS</c:v>
                </c:pt>
                <c:pt idx="1">
                  <c:v>PLAN DE EMERGENCIAS</c:v>
                </c:pt>
                <c:pt idx="2">
                  <c:v>RIESGO SOCIOPOLITICO</c:v>
                </c:pt>
                <c:pt idx="3">
                  <c:v>RIESGO BIOLOGICO</c:v>
                </c:pt>
                <c:pt idx="4">
                  <c:v>CALIDAD</c:v>
                </c:pt>
                <c:pt idx="5">
                  <c:v>PROMOCION Y PREVENCIÓN </c:v>
                </c:pt>
                <c:pt idx="6">
                  <c:v>PROGRAMA DE GESTIÓN PARA EL RIESGO ELÉCTRICO</c:v>
                </c:pt>
                <c:pt idx="7">
                  <c:v>PROGRAMA DE RIESGO PSICOSOCIAL</c:v>
                </c:pt>
                <c:pt idx="8">
                  <c:v>PROGRAMA ESTILOS DE VIDA SALUDABLE</c:v>
                </c:pt>
                <c:pt idx="9">
                  <c:v>PROGRAMA DE GESTIÓN DE RIESGO QUIMICO2</c:v>
                </c:pt>
                <c:pt idx="10">
                  <c:v>RIESGO MECANICO </c:v>
                </c:pt>
                <c:pt idx="11">
                  <c:v>PROGRAMA DE GESTION DE RIESGO RUIDO</c:v>
                </c:pt>
                <c:pt idx="12">
                  <c:v>INVESTIGACION DE ACCIDENTES Y   INCIDENTES/REPORTE DE ACTOS Y CONDICIONES</c:v>
                </c:pt>
                <c:pt idx="13">
                  <c:v>RIESGO LOCATIVO2</c:v>
                </c:pt>
                <c:pt idx="14">
                  <c:v>INDUCCION / REINDUCCION  SGI</c:v>
                </c:pt>
                <c:pt idx="15">
                  <c:v>CONDICIONES DE SEGURIDAD/INSPECCIONES</c:v>
                </c:pt>
                <c:pt idx="16">
                  <c:v>PLAN ESTRATEGICO DE SEGURIDAD VIAL</c:v>
                </c:pt>
                <c:pt idx="17">
                  <c:v>PROGRAMA DE SVE OSTEOMUSCULAR</c:v>
                </c:pt>
                <c:pt idx="18">
                  <c:v>PROGRAMA DE GESTIÓN PARA EL RIESGO ELÉCTRICO / PLAN DE EMERGENCIAS</c:v>
                </c:pt>
                <c:pt idx="19">
                  <c:v>GESTIÓN DEL RIESGOS PRIORITARIOS</c:v>
                </c:pt>
                <c:pt idx="20">
                  <c:v>PROGRAMA DE GESTIÓN PARA EL RIESGO ELÉCTRICO / PROGRAMA PARA LA GESTIÓN DEL RIESGO MECÁNICO</c:v>
                </c:pt>
                <c:pt idx="21">
                  <c:v>REQUISITOS LEGALES</c:v>
                </c:pt>
              </c:strCache>
            </c:strRef>
          </c:cat>
          <c:val>
            <c:numRef>
              <c:f>VALID_2!$C$5:$C$27</c:f>
              <c:numCache>
                <c:formatCode>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ABBB-4AFE-BA82-4608950CB008}"/>
            </c:ext>
          </c:extLst>
        </c:ser>
        <c:dLbls>
          <c:showLegendKey val="0"/>
          <c:showVal val="0"/>
          <c:showCatName val="0"/>
          <c:showSerName val="0"/>
          <c:showPercent val="0"/>
          <c:showBubbleSize val="0"/>
        </c:dLbls>
        <c:gapWidth val="115"/>
        <c:overlap val="-20"/>
        <c:axId val="52418848"/>
        <c:axId val="2138503024"/>
      </c:barChart>
      <c:catAx>
        <c:axId val="5241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324E"/>
                </a:solidFill>
                <a:latin typeface="+mn-lt"/>
                <a:ea typeface="+mn-ea"/>
                <a:cs typeface="+mn-cs"/>
              </a:defRPr>
            </a:pPr>
            <a:endParaRPr lang="es-CO"/>
          </a:p>
        </c:txPr>
        <c:crossAx val="2138503024"/>
        <c:crosses val="autoZero"/>
        <c:auto val="1"/>
        <c:lblAlgn val="ctr"/>
        <c:lblOffset val="100"/>
        <c:noMultiLvlLbl val="0"/>
      </c:catAx>
      <c:valAx>
        <c:axId val="21385030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00324E"/>
                </a:solidFill>
                <a:latin typeface="+mn-lt"/>
                <a:ea typeface="+mn-ea"/>
                <a:cs typeface="+mn-cs"/>
              </a:defRPr>
            </a:pPr>
            <a:endParaRPr lang="es-CO"/>
          </a:p>
        </c:txPr>
        <c:crossAx val="52418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324E"/>
                </a:solidFill>
                <a:latin typeface="+mn-lt"/>
                <a:ea typeface="+mn-ea"/>
                <a:cs typeface="+mn-cs"/>
              </a:defRPr>
            </a:pPr>
            <a:r>
              <a:rPr lang="en-US" b="1">
                <a:solidFill>
                  <a:srgbClr val="00324E"/>
                </a:solidFill>
              </a:rPr>
              <a:t>CUMPLIMIENTO DEL</a:t>
            </a:r>
            <a:r>
              <a:rPr lang="en-US" b="1" baseline="0">
                <a:solidFill>
                  <a:srgbClr val="00324E"/>
                </a:solidFill>
              </a:rPr>
              <a:t> PLAN DE TRABAJO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324E"/>
              </a:solidFill>
              <a:latin typeface="+mn-lt"/>
              <a:ea typeface="+mn-ea"/>
              <a:cs typeface="+mn-cs"/>
            </a:defRPr>
          </a:pPr>
          <a:endParaRPr lang="es-CO"/>
        </a:p>
      </c:txPr>
    </c:title>
    <c:autoTitleDeleted val="0"/>
    <c:plotArea>
      <c:layout>
        <c:manualLayout>
          <c:layoutTarget val="inner"/>
          <c:xMode val="edge"/>
          <c:yMode val="edge"/>
          <c:x val="6.5281559153189964E-2"/>
          <c:y val="0.13275084028724546"/>
          <c:w val="0.92675031235691097"/>
          <c:h val="0.78988400633151779"/>
        </c:manualLayout>
      </c:layout>
      <c:lineChart>
        <c:grouping val="standard"/>
        <c:varyColors val="0"/>
        <c:ser>
          <c:idx val="0"/>
          <c:order val="0"/>
          <c:spPr>
            <a:ln w="28575" cap="rnd">
              <a:solidFill>
                <a:schemeClr val="accent1"/>
              </a:solidFill>
              <a:round/>
            </a:ln>
            <a:effectLst/>
          </c:spPr>
          <c:marker>
            <c:symbol val="none"/>
          </c:marker>
          <c:cat>
            <c:strRef>
              <c:f>DASHBOARD!$O$19:$Z$19</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DASHBOARD!$O$24:$Z$24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1B7-47D3-8F0C-0E66287F2E5C}"/>
            </c:ext>
          </c:extLst>
        </c:ser>
        <c:dLbls>
          <c:showLegendKey val="0"/>
          <c:showVal val="0"/>
          <c:showCatName val="0"/>
          <c:showSerName val="0"/>
          <c:showPercent val="0"/>
          <c:showBubbleSize val="0"/>
        </c:dLbls>
        <c:smooth val="0"/>
        <c:axId val="1523056127"/>
        <c:axId val="1523060287"/>
      </c:lineChart>
      <c:catAx>
        <c:axId val="152305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76111"/>
                </a:solidFill>
                <a:latin typeface="+mn-lt"/>
                <a:ea typeface="+mn-ea"/>
                <a:cs typeface="+mn-cs"/>
              </a:defRPr>
            </a:pPr>
            <a:endParaRPr lang="es-CO"/>
          </a:p>
        </c:txPr>
        <c:crossAx val="1523060287"/>
        <c:crosses val="autoZero"/>
        <c:auto val="1"/>
        <c:lblAlgn val="ctr"/>
        <c:lblOffset val="100"/>
        <c:noMultiLvlLbl val="0"/>
      </c:catAx>
      <c:valAx>
        <c:axId val="1523060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324E"/>
                </a:solidFill>
                <a:latin typeface="+mn-lt"/>
                <a:ea typeface="+mn-ea"/>
                <a:cs typeface="+mn-cs"/>
              </a:defRPr>
            </a:pPr>
            <a:endParaRPr lang="es-CO"/>
          </a:p>
        </c:txPr>
        <c:crossAx val="1523056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196609798775151"/>
          <c:y val="0.11143627879848353"/>
          <c:w val="0.44717891513560809"/>
          <c:h val="0.74529819189268021"/>
        </c:manualLayout>
      </c:layout>
      <c:doughnutChart>
        <c:varyColors val="1"/>
        <c:ser>
          <c:idx val="0"/>
          <c:order val="0"/>
          <c:spPr>
            <a:solidFill>
              <a:srgbClr val="00324E"/>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5F10-42DD-B4F5-A062935F3451}"/>
              </c:ext>
            </c:extLst>
          </c:dPt>
          <c:dPt>
            <c:idx val="1"/>
            <c:bubble3D val="0"/>
            <c:spPr>
              <a:solidFill>
                <a:srgbClr val="F6B400"/>
              </a:solidFill>
              <a:ln w="19050">
                <a:solidFill>
                  <a:schemeClr val="lt1"/>
                </a:solidFill>
              </a:ln>
              <a:effectLst/>
            </c:spPr>
            <c:extLst>
              <c:ext xmlns:c16="http://schemas.microsoft.com/office/drawing/2014/chart" uri="{C3380CC4-5D6E-409C-BE32-E72D297353CC}">
                <c16:uniqueId val="{00000002-5F10-42DD-B4F5-A062935F3451}"/>
              </c:ext>
            </c:extLst>
          </c:dPt>
          <c:dLbls>
            <c:delete val="1"/>
          </c:dLbls>
          <c:val>
            <c:numRef>
              <c:f>DASHBOARD!$AA$24:$AB$24</c:f>
              <c:numCache>
                <c:formatCode>0%</c:formatCode>
                <c:ptCount val="2"/>
                <c:pt idx="0">
                  <c:v>0</c:v>
                </c:pt>
                <c:pt idx="1">
                  <c:v>1</c:v>
                </c:pt>
              </c:numCache>
            </c:numRef>
          </c:val>
          <c:extLst>
            <c:ext xmlns:c16="http://schemas.microsoft.com/office/drawing/2014/chart" uri="{C3380CC4-5D6E-409C-BE32-E72D297353CC}">
              <c16:uniqueId val="{00000000-5F10-42DD-B4F5-A062935F3451}"/>
            </c:ext>
          </c:extLst>
        </c:ser>
        <c:dLbls>
          <c:showLegendKey val="0"/>
          <c:showVal val="1"/>
          <c:showCatName val="0"/>
          <c:showSerName val="0"/>
          <c:showPercent val="0"/>
          <c:showBubbleSize val="0"/>
          <c:showLeaderLines val="1"/>
        </c:dLbls>
        <c:firstSliceAng val="0"/>
        <c:holeSize val="8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[FT-HSEQ-120_PC_V06_MANTENIMIENTO_ESSA_OBRAS.xlsx]VALID_2!TablaDinámica2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VALID_2!$C$4</c:f>
              <c:strCache>
                <c:ptCount val="1"/>
                <c:pt idx="0">
                  <c:v>Total</c:v>
                </c:pt>
              </c:strCache>
            </c:strRef>
          </c:tx>
          <c:spPr>
            <a:solidFill>
              <a:schemeClr val="accent1"/>
            </a:solidFill>
            <a:ln>
              <a:noFill/>
            </a:ln>
            <a:effectLst/>
          </c:spPr>
          <c:invertIfNegative val="0"/>
          <c:cat>
            <c:strRef>
              <c:f>VALID_2!$B$5:$B$27</c:f>
              <c:strCache>
                <c:ptCount val="22"/>
                <c:pt idx="0">
                  <c:v>MATRIZ DE PELIGROS</c:v>
                </c:pt>
                <c:pt idx="1">
                  <c:v>PLAN DE EMERGENCIAS</c:v>
                </c:pt>
                <c:pt idx="2">
                  <c:v>RIESGO SOCIOPOLITICO</c:v>
                </c:pt>
                <c:pt idx="3">
                  <c:v>RIESGO BIOLOGICO</c:v>
                </c:pt>
                <c:pt idx="4">
                  <c:v>CALIDAD</c:v>
                </c:pt>
                <c:pt idx="5">
                  <c:v>PROMOCION Y PREVENCIÓN </c:v>
                </c:pt>
                <c:pt idx="6">
                  <c:v>PROGRAMA DE GESTIÓN PARA EL RIESGO ELÉCTRICO</c:v>
                </c:pt>
                <c:pt idx="7">
                  <c:v>PROGRAMA DE RIESGO PSICOSOCIAL</c:v>
                </c:pt>
                <c:pt idx="8">
                  <c:v>PROGRAMA ESTILOS DE VIDA SALUDABLE</c:v>
                </c:pt>
                <c:pt idx="9">
                  <c:v>PROGRAMA DE GESTIÓN DE RIESGO QUIMICO2</c:v>
                </c:pt>
                <c:pt idx="10">
                  <c:v>RIESGO MECANICO </c:v>
                </c:pt>
                <c:pt idx="11">
                  <c:v>PROGRAMA DE GESTION DE RIESGO RUIDO</c:v>
                </c:pt>
                <c:pt idx="12">
                  <c:v>INVESTIGACION DE ACCIDENTES Y   INCIDENTES/REPORTE DE ACTOS Y CONDICIONES</c:v>
                </c:pt>
                <c:pt idx="13">
                  <c:v>RIESGO LOCATIVO2</c:v>
                </c:pt>
                <c:pt idx="14">
                  <c:v>INDUCCION / REINDUCCION  SGI</c:v>
                </c:pt>
                <c:pt idx="15">
                  <c:v>CONDICIONES DE SEGURIDAD/INSPECCIONES</c:v>
                </c:pt>
                <c:pt idx="16">
                  <c:v>PLAN ESTRATEGICO DE SEGURIDAD VIAL</c:v>
                </c:pt>
                <c:pt idx="17">
                  <c:v>PROGRAMA DE SVE OSTEOMUSCULAR</c:v>
                </c:pt>
                <c:pt idx="18">
                  <c:v>PROGRAMA DE GESTIÓN PARA EL RIESGO ELÉCTRICO / PLAN DE EMERGENCIAS</c:v>
                </c:pt>
                <c:pt idx="19">
                  <c:v>GESTIÓN DEL RIESGOS PRIORITARIOS</c:v>
                </c:pt>
                <c:pt idx="20">
                  <c:v>PROGRAMA DE GESTIÓN PARA EL RIESGO ELÉCTRICO / PROGRAMA PARA LA GESTIÓN DEL RIESGO MECÁNICO</c:v>
                </c:pt>
                <c:pt idx="21">
                  <c:v>REQUISITOS LEGALES</c:v>
                </c:pt>
              </c:strCache>
            </c:strRef>
          </c:cat>
          <c:val>
            <c:numRef>
              <c:f>VALID_2!$C$5:$C$27</c:f>
              <c:numCache>
                <c:formatCode>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49E4-46D2-9028-D880DDD47707}"/>
            </c:ext>
          </c:extLst>
        </c:ser>
        <c:dLbls>
          <c:showLegendKey val="0"/>
          <c:showVal val="0"/>
          <c:showCatName val="0"/>
          <c:showSerName val="0"/>
          <c:showPercent val="0"/>
          <c:showBubbleSize val="0"/>
        </c:dLbls>
        <c:gapWidth val="219"/>
        <c:axId val="52418848"/>
        <c:axId val="2138503024"/>
      </c:barChart>
      <c:catAx>
        <c:axId val="5241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38503024"/>
        <c:crosses val="autoZero"/>
        <c:auto val="1"/>
        <c:lblAlgn val="ctr"/>
        <c:lblOffset val="100"/>
        <c:noMultiLvlLbl val="0"/>
      </c:catAx>
      <c:valAx>
        <c:axId val="21385030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41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603250</xdr:colOff>
      <xdr:row>17</xdr:row>
      <xdr:rowOff>31750</xdr:rowOff>
    </xdr:from>
    <xdr:to>
      <xdr:col>12</xdr:col>
      <xdr:colOff>603250</xdr:colOff>
      <xdr:row>52</xdr:row>
      <xdr:rowOff>47625</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xdr:colOff>
      <xdr:row>25</xdr:row>
      <xdr:rowOff>166008</xdr:rowOff>
    </xdr:from>
    <xdr:to>
      <xdr:col>28</xdr:col>
      <xdr:colOff>0</xdr:colOff>
      <xdr:row>45</xdr:row>
      <xdr:rowOff>0</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51954</xdr:colOff>
      <xdr:row>3</xdr:row>
      <xdr:rowOff>96982</xdr:rowOff>
    </xdr:from>
    <xdr:to>
      <xdr:col>27</xdr:col>
      <xdr:colOff>359351</xdr:colOff>
      <xdr:row>17</xdr:row>
      <xdr:rowOff>0</xdr:rowOff>
    </xdr:to>
    <xdr:graphicFrame macro="">
      <xdr:nvGraphicFramePr>
        <xdr:cNvPr id="12" name="Gráfico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5</xdr:row>
      <xdr:rowOff>69273</xdr:rowOff>
    </xdr:from>
    <xdr:to>
      <xdr:col>19</xdr:col>
      <xdr:colOff>346363</xdr:colOff>
      <xdr:row>14</xdr:row>
      <xdr:rowOff>190501</xdr:rowOff>
    </xdr:to>
    <xdr:sp macro="" textlink="">
      <xdr:nvSpPr>
        <xdr:cNvPr id="14" name="Rectángulo redondeado 13">
          <a:extLst>
            <a:ext uri="{FF2B5EF4-FFF2-40B4-BE49-F238E27FC236}">
              <a16:creationId xmlns:a16="http://schemas.microsoft.com/office/drawing/2014/main" id="{00000000-0008-0000-0000-00000E000000}"/>
            </a:ext>
          </a:extLst>
        </xdr:cNvPr>
        <xdr:cNvSpPr/>
      </xdr:nvSpPr>
      <xdr:spPr>
        <a:xfrm>
          <a:off x="9906000" y="1905000"/>
          <a:ext cx="3740727" cy="2303319"/>
        </a:xfrm>
        <a:prstGeom prst="roundRect">
          <a:avLst/>
        </a:prstGeom>
        <a:solidFill>
          <a:schemeClr val="accent3">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rgbClr val="C00000"/>
              </a:solidFill>
              <a:latin typeface="Franklin Gothic Medium" panose="020B0603020102020204" pitchFamily="34" charset="0"/>
            </a:rPr>
            <a:t>PLAN DE CAPACITACIÓN DEL SISTEMA SEGURIDAD Y SALUD EN EL TRABAJO</a:t>
          </a:r>
        </a:p>
      </xdr:txBody>
    </xdr:sp>
    <xdr:clientData/>
  </xdr:twoCellAnchor>
  <xdr:twoCellAnchor editAs="oneCell">
    <xdr:from>
      <xdr:col>20</xdr:col>
      <xdr:colOff>290079</xdr:colOff>
      <xdr:row>5</xdr:row>
      <xdr:rowOff>252556</xdr:rowOff>
    </xdr:from>
    <xdr:to>
      <xdr:col>24</xdr:col>
      <xdr:colOff>380999</xdr:colOff>
      <xdr:row>13</xdr:row>
      <xdr:rowOff>140974</xdr:rowOff>
    </xdr:to>
    <xdr:sp macro="" textlink="$AA$24">
      <xdr:nvSpPr>
        <xdr:cNvPr id="7" name="Elipse 6">
          <a:extLst>
            <a:ext uri="{FF2B5EF4-FFF2-40B4-BE49-F238E27FC236}">
              <a16:creationId xmlns:a16="http://schemas.microsoft.com/office/drawing/2014/main" id="{00000000-0008-0000-0000-000007000000}"/>
            </a:ext>
          </a:extLst>
        </xdr:cNvPr>
        <xdr:cNvSpPr>
          <a:spLocks noChangeAspect="1"/>
        </xdr:cNvSpPr>
      </xdr:nvSpPr>
      <xdr:spPr>
        <a:xfrm>
          <a:off x="14750761" y="2867601"/>
          <a:ext cx="2169102" cy="2209055"/>
        </a:xfrm>
        <a:prstGeom prst="ellipse">
          <a:avLst/>
        </a:prstGeom>
        <a:solidFill>
          <a:srgbClr val="C0000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4FECF6B-589F-487C-9A6B-258FD4C08010}" type="TxLink">
            <a:rPr lang="en-US" sz="3600" b="1" i="0" u="none" strike="noStrike">
              <a:solidFill>
                <a:schemeClr val="bg1"/>
              </a:solidFill>
              <a:latin typeface="Franklin Gothic Medium" panose="020B0603020102020204" pitchFamily="34" charset="0"/>
              <a:cs typeface="Calibri"/>
            </a:rPr>
            <a:pPr algn="ctr"/>
            <a:t>0%</a:t>
          </a:fld>
          <a:endParaRPr lang="en-US" sz="3600" b="1" i="0">
            <a:solidFill>
              <a:schemeClr val="bg1"/>
            </a:solidFill>
            <a:latin typeface="Franklin Gothic Medium" panose="020B0603020102020204" pitchFamily="34" charset="0"/>
          </a:endParaRPr>
        </a:p>
      </xdr:txBody>
    </xdr:sp>
    <xdr:clientData/>
  </xdr:twoCellAnchor>
  <xdr:twoCellAnchor editAs="oneCell">
    <xdr:from>
      <xdr:col>0</xdr:col>
      <xdr:colOff>139987</xdr:colOff>
      <xdr:row>16</xdr:row>
      <xdr:rowOff>163080</xdr:rowOff>
    </xdr:from>
    <xdr:to>
      <xdr:col>3</xdr:col>
      <xdr:colOff>536864</xdr:colOff>
      <xdr:row>58</xdr:row>
      <xdr:rowOff>14433</xdr:rowOff>
    </xdr:to>
    <mc:AlternateContent xmlns:mc="http://schemas.openxmlformats.org/markup-compatibility/2006" xmlns:a14="http://schemas.microsoft.com/office/drawing/2010/main">
      <mc:Choice Requires="a14">
        <xdr:graphicFrame macro="">
          <xdr:nvGraphicFramePr>
            <xdr:cNvPr id="8" name="FACTOR DE RIESGO/PROGRAMA 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FACTOR DE RIESGO/PROGRAMA 1"/>
            </a:graphicData>
          </a:graphic>
        </xdr:graphicFrame>
      </mc:Choice>
      <mc:Fallback xmlns="">
        <xdr:sp macro="" textlink="">
          <xdr:nvSpPr>
            <xdr:cNvPr id="0" name=""/>
            <xdr:cNvSpPr>
              <a:spLocks noTextEdit="1"/>
            </xdr:cNvSpPr>
          </xdr:nvSpPr>
          <xdr:spPr>
            <a:xfrm>
              <a:off x="139987" y="5826125"/>
              <a:ext cx="2682877" cy="792162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628650</xdr:colOff>
      <xdr:row>0</xdr:row>
      <xdr:rowOff>47625</xdr:rowOff>
    </xdr:from>
    <xdr:to>
      <xdr:col>18</xdr:col>
      <xdr:colOff>504825</xdr:colOff>
      <xdr:row>1</xdr:row>
      <xdr:rowOff>609600</xdr:rowOff>
    </xdr:to>
    <xdr:sp macro="" textlink="">
      <xdr:nvSpPr>
        <xdr:cNvPr id="10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1757795</xdr:colOff>
      <xdr:row>0</xdr:row>
      <xdr:rowOff>278533</xdr:rowOff>
    </xdr:from>
    <xdr:to>
      <xdr:col>1</xdr:col>
      <xdr:colOff>1434508</xdr:colOff>
      <xdr:row>2</xdr:row>
      <xdr:rowOff>502226</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7795" y="278533"/>
          <a:ext cx="2690077" cy="1539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142874</xdr:colOff>
      <xdr:row>1</xdr:row>
      <xdr:rowOff>142874</xdr:rowOff>
    </xdr:from>
    <xdr:to>
      <xdr:col>9</xdr:col>
      <xdr:colOff>647700</xdr:colOff>
      <xdr:row>32</xdr:row>
      <xdr:rowOff>152400</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1962150</xdr:colOff>
      <xdr:row>18</xdr:row>
      <xdr:rowOff>76200</xdr:rowOff>
    </xdr:from>
    <xdr:to>
      <xdr:col>0</xdr:col>
      <xdr:colOff>3790950</xdr:colOff>
      <xdr:row>31</xdr:row>
      <xdr:rowOff>123825</xdr:rowOff>
    </xdr:to>
    <mc:AlternateContent xmlns:mc="http://schemas.openxmlformats.org/markup-compatibility/2006" xmlns:a14="http://schemas.microsoft.com/office/drawing/2010/main">
      <mc:Choice Requires="a14">
        <xdr:graphicFrame macro="">
          <xdr:nvGraphicFramePr>
            <xdr:cNvPr id="4" name="RESPONSABLES">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RESPONSABLES"/>
            </a:graphicData>
          </a:graphic>
        </xdr:graphicFrame>
      </mc:Choice>
      <mc:Fallback xmlns="">
        <xdr:sp macro="" textlink="">
          <xdr:nvSpPr>
            <xdr:cNvPr id="0" name=""/>
            <xdr:cNvSpPr>
              <a:spLocks noTextEdit="1"/>
            </xdr:cNvSpPr>
          </xdr:nvSpPr>
          <xdr:spPr>
            <a:xfrm>
              <a:off x="1962150" y="3505200"/>
              <a:ext cx="1828800" cy="2524125"/>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1963511</xdr:colOff>
      <xdr:row>2</xdr:row>
      <xdr:rowOff>27214</xdr:rowOff>
    </xdr:from>
    <xdr:to>
      <xdr:col>0</xdr:col>
      <xdr:colOff>3792311</xdr:colOff>
      <xdr:row>15</xdr:row>
      <xdr:rowOff>74839</xdr:rowOff>
    </xdr:to>
    <mc:AlternateContent xmlns:mc="http://schemas.openxmlformats.org/markup-compatibility/2006" xmlns:a14="http://schemas.microsoft.com/office/drawing/2010/main">
      <mc:Choice Requires="a14">
        <xdr:graphicFrame macro="">
          <xdr:nvGraphicFramePr>
            <xdr:cNvPr id="5" name="FACTOR DE RIESGO/PROGRAMA">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FACTOR DE RIESGO/PROGRAMA"/>
            </a:graphicData>
          </a:graphic>
        </xdr:graphicFrame>
      </mc:Choice>
      <mc:Fallback xmlns="">
        <xdr:sp macro="" textlink="">
          <xdr:nvSpPr>
            <xdr:cNvPr id="0" name=""/>
            <xdr:cNvSpPr>
              <a:spLocks noTextEdit="1"/>
            </xdr:cNvSpPr>
          </xdr:nvSpPr>
          <xdr:spPr>
            <a:xfrm>
              <a:off x="1963511" y="408214"/>
              <a:ext cx="1828800" cy="2524125"/>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SEQ SD" refreshedDate="46031.495413773147" createdVersion="6" refreshedVersion="7" minRefreshableVersion="3" recordCount="48" xr:uid="{00000000-000A-0000-FFFF-FFFF36000000}">
  <cacheSource type="worksheet">
    <worksheetSource name="PlanTrabajo4"/>
  </cacheSource>
  <cacheFields count="27">
    <cacheField name="OBJETIVO DE LA ACTIVIDAD" numFmtId="0">
      <sharedItems/>
    </cacheField>
    <cacheField name="FACTOR DE RIESGO/PROGRAMA" numFmtId="0">
      <sharedItems containsBlank="1" count="96">
        <s v="INDUCCION / REINDUCCION  SGI"/>
        <s v="PLAN DE EMERGENCIAS"/>
        <s v="REQUISITOS LEGALES"/>
        <s v="MATRIZ DE PELIGROS"/>
        <s v="PROMOCION Y PREVENCIÓN "/>
        <s v="GESTIÓN DEL RIESGOS PRIORITARIOS"/>
        <s v="PROGRAMA DE GESTIÓN PARA EL RIESGO ELÉCTRICO / PROGRAMA PARA LA GESTIÓN DEL RIESGO MECÁNICO"/>
        <s v="PROGRAMA DE SVE OSTEOMUSCULAR"/>
        <s v="INVESTIGACION DE ACCIDENTES Y   INCIDENTES/REPORTE DE ACTOS Y CONDICIONES"/>
        <s v="PROGRAMA DE GESTIÓN PARA EL RIESGO ELÉCTRICO"/>
        <s v="CONDICIONES DE SEGURIDAD/INSPECCIONES"/>
        <s v="PROGRAMA DE RIESGO PSICOSOCIAL"/>
        <s v="RIESGO SOCIOPOLITICO"/>
        <s v="PROGRAMA ESTILOS DE VIDA SALUDABLE"/>
        <s v="PROGRAMA DE GESTIÓN DE RIESGO QUIMICO"/>
        <s v="RIESGO MECANICO "/>
        <s v="RIESGO LOCATIVO"/>
        <s v="RIESGO BIOLOGICO"/>
        <s v="PLAN ESTRATEGICO DE SEGURIDAD VIAL"/>
        <s v="PROGRAMA DE GESTION DE RIESGO RUIDO"/>
        <s v="PROGRAMA DE GESTIÓN PARA EL RIESGO ELÉCTRICO / PLAN DE EMERGENCIAS"/>
        <s v="CALIDAD"/>
        <s v="PROGRAMA DE GESTIÓN DE RIESGO QUIMICO2" u="1"/>
        <s v="ACTIVIDADES DE ALTO RIESGO ( ELECTRICO) " u="1"/>
        <s v="PLAN DE EMEREGENCIAS/PROGRAMA DE GESTIÓN DE RIESGO QUIMICO/RIESGO BIOLOGICO" u="1"/>
        <m u="1"/>
        <s v="REGLAMENTO INTERNO DE TRABAJO/COMITES SAS SAS" u="1"/>
        <s v="CURSO 50 HORAS" u="1"/>
        <s v="ESTILOS DE VIDA SALUDABLE" u="1"/>
        <s v="REPORTE DE ACTOS Y CONDICIONES" u="1"/>
        <s v="GESTION AMBIENTAL/PROGRAMA GESTIÓN INTEGRAL DE RESIDUOS" u="1"/>
        <s v="RIESGO ELECTRICO" u="1"/>
        <s v="PROGRAMA DE PROTECCIÓN CONTRA CAÍDAS" u="1"/>
        <s v="PROMOCION Y PREVENCIÓN ( CUIDADO VISUAL)" u="1"/>
        <s v="INVESTIGACION DE INCIDENTES" u="1"/>
        <s v="REGLAMENTO INTERNO DE TRABAJO/COMITES SAS " u="1"/>
        <s v="PLAN DE EMEREGENCIAS" u="1"/>
        <s v="INDICADORES DE GESTION" u="1"/>
        <s v="USO EFICIENTE DE RECURSOS/PROGRAMA DE TECNOLOGIAS LIMPIAS" u="1"/>
        <s v="EPP" u="1"/>
        <s v="GESTION AMBIENTAL" u="1"/>
        <s v="USO EFICIENTE DE RECURSOS/ PROGRAMA GESTIÓN INTEGRAL DE RESIDUOS" u="1"/>
        <s v="PROGRAMA DE PROTECCIÓN CONTRA CAÍDAS//PROGRAMA DE GESTION PARA TRABAJOS EN ESPACIOS CONFINADOS" u="1"/>
        <s v="PROGRAMA DE GESTIÓN PARA EL RIESGO ELÉCTRICO/EMERGENCIAS" u="1"/>
        <s v="POLITICAS DEL SISTEMA:  Politica de seguridad, acoso laboral, sustancias psicoactivas" u="1"/>
        <s v="RIESGO PSICOSOCIAL" u="1"/>
        <s v="ROLES Y RESPONSABILIDADES" u="1"/>
        <s v="BRIGADA" u="1"/>
        <s v="PROGRAMA DE GESTIÓN PARA EL RIESGO ELÉCTRICO/PROGRAMA DE PROTECCIÓN CONTRA CAÍDAS" u="1"/>
        <s v="SEGURIDAD VIAL" u="1"/>
        <s v="ACTIVIDADES DE ALTO RIESGO ( ELECTRICO)" u="1"/>
        <s v="POLITICAS" u="1"/>
        <s v="RIESGO QUIMICO" u="1"/>
        <s v="MECANICO " u="1"/>
        <s v="RIESGO BIOMECANICO" u="1"/>
        <s v="COMITÉ DE CONVIVENCIA LABORAL" u="1"/>
        <s v="PROGRAMA RIESGO PSICOSOCIAL" u="1"/>
        <s v="TALLER DE INVESTIGACION DE ACCIDENTES" u="1"/>
        <s v="TOMAR MATRIZ DE PELIGROS Y PROGRAMAR INTERVENCION A TODOS LOS FACTORES DE RIESGO" u="1"/>
        <s v="GESTION AMBIENTAL/FORESTAL" u="1"/>
        <s v="PROGRAMA DE SVE DME" u="1"/>
        <s v="ACTIVIDADES DE ALTO RIESGO ( ALTURAS y ESPACIOS CONFINADOS) " u="1"/>
        <s v="PROGRAMA DE REINTEGRO" u="1"/>
        <s v="DIAGNOSTICO DE CONDICIONES DE SALUD" u="1"/>
        <s v="INVESTIGACION DE ACCIDENTES Y   INCIDENTES" u="1"/>
        <s v="COMITES SD SAS" u="1"/>
        <s v="PRIMEROS AUXILIOS" u="1"/>
        <s v="ACTIVIDADES DE ALTO RIESGO (ELECTRICO)" u="1"/>
        <s v="REINDUCCION" u="1"/>
        <s v="RIESGO AUDITIVO" u="1"/>
        <s v="EMERGENCIAS" u="1"/>
        <s v="PROGRAMA DE GESTION PARA TRABAJOS EN ESPACIOS CONFINADOS" u="1"/>
        <s v="GESTION AMBIENTAL/PROGRAMA DE ENERGIAS LIMPIAS" u="1"/>
        <s v="PESV" u="1"/>
        <s v="LECCIONES APRENDIDAS" u="1"/>
        <s v="OBJETIVOS DEL SISTEMA DE GESTIÓN " u="1"/>
        <s v="PROGRAMA DE GESTIÓN PARA EL RIESGO ELÉCTRICO/ PROGRAMA DE GESTIÒN DEL RIESGO CONTRA CAIDAS" u="1"/>
        <s v="GESTION DEL RIESGO" u="1"/>
        <s v="PLAN DE EMERGENCIAS_1" u="1"/>
        <s v="ACTIVIDADES DE ALTO RIESGO (ALTURA)" u="1"/>
        <s v="INSPECCIONES" u="1"/>
        <s v="REGLAMENTO INTERNO DE TRABAJO" u="1"/>
        <s v="COPASST" u="1"/>
        <s v="ACTIVIDADES DE ALTO RIESGO" u="1"/>
        <s v="PLAN DE EMERGENCIA Y BRIGADA" u="1"/>
        <s v="PROMOCION Y PREVENCIÓN ( CUIDADO AUDITIVO)" u="1"/>
        <s v="ELEMENTOS DE PROTECCIÓN PERSONAL Y RESCATE EN ESPACIOS CONFINADOS " u="1"/>
        <s v="INDUCCION SGI" u="1"/>
        <s v="PESV/EMERGENCIAS" u="1"/>
        <s v="ACOSO LABORAL" u="1"/>
        <s v="CONDICIONES DE SEGURIDAD./INSPECCIONES" u="1"/>
        <s v="CALIDAD " u="1"/>
        <s v="INDUCCION" u="1"/>
        <s v="RIESGO ESPACIOS CONFINADOS" u="1"/>
        <s v="GESTION AMBIENTAL/ PROGRAMA GESTIÓN INTEGRAL DE RESIDUOS" u="1"/>
        <s v="GESTION AMBIENTAL/PROGRAMA DE TECNOLOGIAS LIMPIAS" u="1"/>
      </sharedItems>
    </cacheField>
    <cacheField name="TEMA DE INTERVENCIÓN:  definir que se quiere transmitir, antecedentes del riesgo o del evento" numFmtId="0">
      <sharedItems/>
    </cacheField>
    <cacheField name="Origen /necesidad" numFmtId="0">
      <sharedItems/>
    </cacheField>
    <cacheField name="OBJETIVO" numFmtId="0">
      <sharedItems longText="1"/>
    </cacheField>
    <cacheField name="OBJETIVOS ESPECÍFICOS" numFmtId="0">
      <sharedItems longText="1"/>
    </cacheField>
    <cacheField name="Intensidad horaria por trabajador" numFmtId="0">
      <sharedItems containsSemiMixedTypes="0" containsString="0" containsNumber="1" containsInteger="1" minValue="2" maxValue="4"/>
    </cacheField>
    <cacheField name="METODOLOGIA:  plantear la metodologia a utilizar en la actividad" numFmtId="0">
      <sharedItems/>
    </cacheField>
    <cacheField name="EVALUACIÓN:  definir si se realizara evaluacion, metodo de evaluación." numFmtId="0">
      <sharedItems/>
    </cacheField>
    <cacheField name="Evidencia de la formaciòn" numFmtId="0">
      <sharedItems/>
    </cacheField>
    <cacheField name="POBLACION OBJETO   " numFmtId="0">
      <sharedItems/>
    </cacheField>
    <cacheField name="CENTRO DE TRABAJO" numFmtId="0">
      <sharedItems/>
    </cacheField>
    <cacheField name="RESPONSABLES" numFmtId="0">
      <sharedItems containsBlank="1" count="22">
        <s v="COORDINADOR HSEQ"/>
        <s v="ARL SURA/COORDINADOR HSEQ"/>
        <s v="COODINADOR HSEQ"/>
        <m u="1"/>
        <s v="GERENTE - PEDRO LOPEZ" u="1"/>
        <s v="ARL / COORDINADOR HSEQ" u="1"/>
        <s v="ARL SURA - PROFESIONAL ESTILOS DE VIDA" u="1"/>
        <s v="INSPECTOR SST - FULANO DETAL" u="1"/>
        <s v="COORDINADOR  HSEQ" u="1"/>
        <s v="ASESOR ESCALAR SEGUROS" u="1"/>
        <s v="ARL" u="1"/>
        <s v="ASESOR EXTERNO" u="1"/>
        <s v="ARL SURA CAPACITADOR GENERICO" u="1"/>
        <s v="ARL SURA PROFESIONAL EMERGENCIAS" u="1"/>
        <s v="AUDITORA." u="1"/>
        <s v="ARL SURA - PROFESIONAL QUIMICO" u="1"/>
        <s v="ARL / COORDINADOR HSE " u="1"/>
        <s v="COORDINADOR SST" u="1"/>
        <s v="RESPONSABLE SST - PEDRO PEREZ" u="1"/>
        <s v="COORDINADOR  HSE" u="1"/>
        <s v="CRUZ ROJA" u="1"/>
        <s v="RESPONSABLE RRHH - SARA BUSTONI" u="1"/>
      </sharedItems>
    </cacheField>
    <cacheField name="ENE" numFmtId="0">
      <sharedItems containsString="0" containsBlank="1" containsNumber="1" containsInteger="1" minValue="1" maxValue="1"/>
    </cacheField>
    <cacheField name="FEB" numFmtId="0">
      <sharedItems containsString="0" containsBlank="1" containsNumber="1" containsInteger="1" minValue="1" maxValue="1"/>
    </cacheField>
    <cacheField name="MAR" numFmtId="0">
      <sharedItems containsString="0" containsBlank="1" containsNumber="1" containsInteger="1" minValue="1" maxValue="1"/>
    </cacheField>
    <cacheField name="ABR" numFmtId="0">
      <sharedItems containsString="0" containsBlank="1" containsNumber="1" containsInteger="1" minValue="1" maxValue="1"/>
    </cacheField>
    <cacheField name="MAY" numFmtId="0">
      <sharedItems containsString="0" containsBlank="1" containsNumber="1" containsInteger="1" minValue="1" maxValue="1"/>
    </cacheField>
    <cacheField name="JUN" numFmtId="0">
      <sharedItems containsString="0" containsBlank="1" containsNumber="1" containsInteger="1" minValue="1" maxValue="1"/>
    </cacheField>
    <cacheField name="JUL" numFmtId="0">
      <sharedItems containsString="0" containsBlank="1" containsNumber="1" containsInteger="1" minValue="1" maxValue="1"/>
    </cacheField>
    <cacheField name="AGO" numFmtId="0">
      <sharedItems containsString="0" containsBlank="1" containsNumber="1" containsInteger="1" minValue="1" maxValue="1"/>
    </cacheField>
    <cacheField name="SEP" numFmtId="0">
      <sharedItems containsString="0" containsBlank="1" containsNumber="1" containsInteger="1" minValue="1" maxValue="1"/>
    </cacheField>
    <cacheField name="OCT" numFmtId="0">
      <sharedItems containsString="0" containsBlank="1" containsNumber="1" containsInteger="1" minValue="1" maxValue="1"/>
    </cacheField>
    <cacheField name="NOV" numFmtId="0">
      <sharedItems containsString="0" containsBlank="1" containsNumber="1" containsInteger="1" minValue="1" maxValue="1"/>
    </cacheField>
    <cacheField name="DIC" numFmtId="0">
      <sharedItems containsString="0" containsBlank="1" containsNumber="1" containsInteger="1" minValue="1" maxValue="1"/>
    </cacheField>
    <cacheField name="% COMPLETADO" numFmtId="9">
      <sharedItems containsSemiMixedTypes="0" containsString="0" containsNumber="1" containsInteger="1" minValue="0" maxValue="0"/>
    </cacheField>
    <cacheField name="OBSERVACIONES Y SEGUIMIENTO "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PROCESO DE INDUCCION / REINDUCCIÒN"/>
    <x v="0"/>
    <s v="Inducción/reinducciòn ( SD SAS)"/>
    <s v="REQUISITO LEGAL"/>
    <s v="Divulgar  al personal nuevo y antiguo los siguientes temas: general de la empresa,  calidad, seguridad y salud en el trabajo, gestión Ambiental, de acuerdo al cargo y otros temas. (Cada vez que ingresa personal)"/>
    <s v="Conocer las políticas, objetivos y lineamientos del Sistema de Gestión de Seguridad y Salud en el Trabajo (SG‑SST) y su aplicación en SD SAS._x000a_Identificar los riesgos generales presentes en la empresa, incluyendo riesgos físicos, mecánicos, locativos, químicos, biológicos, biomecánicos, psicosociales y viales._x000a_Reconocer los riesgos eléctricos asociados a sus funciones y las medidas de prevención y control establecidas._x000a_Identificar los riesgos específicos en actividades de poda, tala e intervención de vegetación, especialmente en cercanías a redes eléctricas._x000a_Aplicar las acciones preventivas del SG‑SST, tales como reporte de condiciones inseguras, cumplimiento de procedimientos y uso adecuado del EPP._x000a_Reconocer sus derechos, deberes y responsabilidades frente a la Seguridad y Salud en el Trabajo._x000a_Identificar y aplicar los procedimientos de trabajo seguro relacionados con riesgo eléctrico, uso de herramientas y trabajo en campo._x000a_Conocer los mecanismos de reporte de accidentes, incidentes, actos y condiciones inseguras._x000a_Identificar las rutas de evacuación, puntos de encuentro y roles en el plan de emergencias._x000a_Aplicar prácticas de autocuidado y comportamiento seguro durante la ejecución de sus actividades laborales._x000a_Fortalecer la cultura de prevención, participando activamente en las acciones del SG‑SST."/>
    <n v="4"/>
    <s v="Magistral interactiva con el trabajador"/>
    <s v="Evaluacion Oral y  Escrita con calificación"/>
    <s v="Registro de asistencia, evaluacion"/>
    <s v="Trabajadores nuevos o con inducciòn superior a 1 año"/>
    <s v="ESSA EPM_x000a_Servicios de mantenimiento de líneas de transmisión de energía CW261422"/>
    <x v="0"/>
    <n v="1"/>
    <m/>
    <m/>
    <m/>
    <m/>
    <m/>
    <m/>
    <m/>
    <m/>
    <m/>
    <m/>
    <m/>
    <n v="0"/>
    <s v="Se realiza cada vez que ingresa personal o se presenta vencimiento de induccion ( 1 año)"/>
  </r>
  <r>
    <s v="INTERVENCION DEL RIESGO"/>
    <x v="1"/>
    <s v="Plan atención amergencias "/>
    <s v="PROGRAMA DE GESTION/MATRIZ DE PELIGROS"/>
    <s v="Capacitar a los trabajadores y contratistas en la identificación de amenazas, procedimientos y acciones a seguir frente a situaciones de emergencia, con el fin de prevenir lesiones, minimizar daños a las personas, instalaciones y al medio ambiente, y asegurar una respuesta eficaz, organizada y oportuna durante la ocurrencia de eventos como incendios, accidentes laborales, emergencias eléctricas, naturales o tecnológicas, de acuerdo con el Plan de Atención de Emergencias del proyecto"/>
    <s v="Actuar de manera segura y ordenada frente a una emergencia._x000a_Conocer su rol dentro del Plan de Atención de Emergencias._x000a_Utilizar correctamente rutas de evacuación y equipos básicos._x000a_Contribuir a una respuesta efectiva, reduciendo riesgos y consecuencias."/>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n v="1"/>
    <m/>
    <m/>
    <m/>
    <m/>
    <m/>
    <m/>
    <m/>
    <m/>
    <m/>
    <m/>
    <n v="0"/>
    <s v="Tema habilitación"/>
  </r>
  <r>
    <s v="INTERVENCION DEL RIESGO"/>
    <x v="2"/>
    <s v="Tema 1. Fundamentos de la seguridad y salud en el trabajo_x000a_( Incluye responsabilidad legal) "/>
    <s v="HABILITACION"/>
    <s v="Capacitar y fortalecer los conocimientos del personal en los fundamentos de la Seguridad y Salud en el Trabajo, con el fin de prevenir accidentes laborales y enfermedades de origen laboral, garantizar el cumplimiento del marco legal vigente, promover el respeto por los derechos y responsabilidades de trabajadores y empleador, y resaltar la importancia del correcto diligenciamiento de la documentación del SG‑SST como herramienta preventiva y legal."/>
    <s v="Fortalecer conocimientos en los conceptos básicos de Seguridad y Salud en el Trabajo (SST)._x000a_Reconocer el marco legal aplicable en SST, incluyendo normas nacionales y los principios generales de la Norma ISO 45001._x000a_Identificar los derechos y responsabilidades del trabajador y del empleador frente a la seguridad y salud en el trabajo ( incluyendo generalidades de tipo legal)._x000a_Comprender la importancia del correcto diligenciamiento y gestión de la documentación del SG‑SST._x000a_Promover conductas seguras y una cultura de autocuidado y prevención"/>
    <n v="2"/>
    <s v="Magistral interactiva con el trabajador"/>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n v="1"/>
    <m/>
    <m/>
    <m/>
    <m/>
    <m/>
    <m/>
    <m/>
    <m/>
    <m/>
    <m/>
    <n v="0"/>
    <s v="Tema habilitación"/>
  </r>
  <r>
    <s v="INTERVENCION DEL RIESGO"/>
    <x v="3"/>
    <s v="Tema 2: Identificación de Peligros y Evaluación de Riesgos (IPER) "/>
    <s v="MATRIZ DE PELIGROS"/>
    <s v="Capacitar y fortalecer los conocimientos del  en la Identificación de Peligros y Evaluación de Riesgos (IPER), con el fin de reconocer los peligros presentes en las actividades del proyecto, evaluar los riesgos asociados de acuerdo con la matriz de riesgos, y aplicar medidas de control eficaces que permitan prevenir accidentes de trabajo, enfermedades laborales y eventos graves o fatales."/>
    <s v="Identificar los tipos de peligros presentes en el proyecto (físicos, químicos, biológicos, ergonómicos, psicosociales, mecánicos, eléctricos, locativos, públicos y naturales), de acuerdo con la matriz de riesgos del proyecto._x000a_ Reconocer los peligros críticos y prioritarios en actividades del sector eléctrico y de la construcción._x000a_ Comprender los métodos para identificar peligros en campo y en planeación de trabajos._x000a_ Aplicar criterios básicos para evaluar riesgos (probabilidad, consecuencia y nivel de riesgo)._x000a_identificar y establecer controles adecuados siguiendo la jerarquía de control."/>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n v="1"/>
    <m/>
    <m/>
    <m/>
    <m/>
    <m/>
    <m/>
    <m/>
    <m/>
    <m/>
    <m/>
    <n v="0"/>
    <s v="Tema habilitación"/>
  </r>
  <r>
    <s v="INTERVENCION DEL RIESGO"/>
    <x v="4"/>
    <s v="Tema 5. Reporte de accidentes e incidentes de trabajo "/>
    <s v="REQUISITO LEGAL"/>
    <s v="Capacitar y fortalecer los conocimientos sobre el reporte oportuno de accidentes e incidentes de trabajo, con el fin de prevenir la repetición de eventos, mejorar las condiciones de seguridad, cumplir con los requisitos legales y promover la participación activa de los trabajadores en la investigación de los eventos."/>
    <s v="Comprender qué es un accidente de trabajo y qué es un incidente de trabajo._x000a_Reconocer la importancia del reporte inmediato de accidentes e incidentes._x000a_Conocer el tiempo de reporte por parte del trabajador (inmediato)._x000a_Identificar el rol y la participación del trabajador en la investigación de accidentes e incidentes._x000a_ Fortalecer la cultura de prevención, autocuidado y reporte oportuno."/>
    <n v="2"/>
    <s v="Teór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n v="1"/>
    <m/>
    <m/>
    <m/>
    <m/>
    <m/>
    <m/>
    <m/>
    <m/>
    <m/>
    <m/>
    <n v="0"/>
    <s v="Tema habilitación"/>
  </r>
  <r>
    <s v="INTERVENCION DEL RIESGO"/>
    <x v="4"/>
    <s v="Tema 3. Técnicas de Observación y Reporte actos y condiciones inseguras"/>
    <s v="CONTROL DE ACCIDENTALIDAD / PROGRAMA DE GESTION"/>
    <s v="Capacitar y fortalecer los conocimientos del personal en las técnicas de observación y reporte de actos y condiciones inseguras, con el fin de identificar oportunamente situaciones de riesgo, comunicarlas de manera efectiva y registrar correctamente la información, contribuyendo así a la prevención de accidentes de trabajo y enfermedades laborales"/>
    <s v="Capacitar y fortalecer conocimientos en los métodos para observar actos y condiciones inseguras durante la ejecución de labores._x000a_Aplicar técnicas de comunicación efectiva para reportar actos y condiciones inseguras de forma clara, oportuna y respetuosa._x000a_Utilizar adecuadamente el formato de registro de observación establecido por la empresa._x000a_Promover una cultura de prevención, autocuidado y reporte oportuno."/>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n v="1"/>
    <m/>
    <m/>
    <m/>
    <m/>
    <m/>
    <m/>
    <m/>
    <m/>
    <m/>
    <m/>
    <n v="0"/>
    <s v="Tema habilitación"/>
  </r>
  <r>
    <s v="PROCESO DE INDUCCION / REINDUCCIÒN"/>
    <x v="5"/>
    <s v="Seguridad Eléctrica:_x000a_Tema 1:  Identificación de riesgos, medidas de control, roles y responsabilidades, inspecciones de seguridad."/>
    <s v="PROGRAMA DE GESTION/MATRIZ DE PELIGROS"/>
    <s v="Capacitar y fortalecer los conocimientos proporcionando herramientas para la identificación de riesgos eléctricos, resaltando la importancia del cumplimiento de las Reglas de Oro, el respeto de las distancias mínimas de seguridad, y el uso adecuado de equipos de control como medida preventiva, para garantizar la ejecución segura de actividades en Alta, Media y Baja Tensión, conforme a los procedimientos establecidos y la normativa vigente."/>
    <s v="Identificar los riesgos eléctricos asociados a trabajos en AT, MT y BT._x000a_Comprender y aplicar las Reglas de Oro de la Seguridad Eléctrica._x000a_ Reconocer la importancia de mantener distancias de seguridad mínimas._x000a_Utilizar adecuadamente los equipos de control del riesgo eléctrico:_x000a_GPS, distanciómetro, pértigas, guantes dieléctricos, detectores de tensión, entre otros._x000a_Aplicar medidas de control generales en áreas de trabajo, según tipo de personal (advertido, calificado)._x000a_ Diferenciar roles y responsabilidades del personal especialista y NO especialista._x000a_ Realizar inspección de áreas de trabajo e identificación de condiciones eléctricas._x000a_Reconocer y respetar las distancias de seguridad para cada tipo de personal."/>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n v="1"/>
    <m/>
    <m/>
    <m/>
    <m/>
    <m/>
    <m/>
    <m/>
    <m/>
    <m/>
    <n v="0"/>
    <s v="Tema habilitación"/>
  </r>
  <r>
    <s v="INTERVENCION DEL RIESGO"/>
    <x v="6"/>
    <s v="_x000a_Intervención vegetación ( obras):_x000a_Tema 1. Identificación de peligros, controles planeación segura"/>
    <s v="PROGRAMA DE GESTION/MATRIZ DE PELIGROS"/>
    <s v="Capacitar y fortalecer los conocimientos  para la identificación de peligros, aplicación de controles y planeación segura en actividades de intervención y mantenimiento de vegetación, garantizando la ejecución segura de los trabajos asociados a obras que incluyan o no actividades a proximidad a redes eléctricas energizadas o sin tensión, de acuerdo con los procedimientos establecidos y el control del riesgo eléctrico."/>
    <s v="Reconocer los peligros asociados a la intervención y mantenimiento de vegetación en diferentes entornos._x000a_Aplicar medidas de control adecuadas para minimizar riesgos durante la ejecución de las actividades._x000a_Planear de manera segura las tareas de mantenimiento, considerando condiciones del entorno y cercanía a redes eléctricas._x000a_Fortalecer la cultura de seguridad en el equipo de trabajo, promoviendo la prevención y el autocuidado._x000a_Garantizar el cumplimiento de los procedimientos establecidos y normativas vigentes en materia de seguridad eléctrica._x000a_Desarrollar habilidades prácticas para la toma de decisiones seguras en situaciones de riesgo eléctrico."/>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n v="1"/>
    <m/>
    <m/>
    <m/>
    <m/>
    <m/>
    <m/>
    <m/>
    <m/>
    <m/>
    <n v="0"/>
    <s v="Tema habilitación"/>
  </r>
  <r>
    <s v="INTERVENCION DEL RIESGO"/>
    <x v="7"/>
    <s v="Tema: Manipulación y transporte de cargas, posturas y trabajo repetitivo."/>
    <s v="PROGRAMA DE GESTION/MATRIZ DE PELIGROS"/>
    <s v="Capacitar y fortalecer los conocimientos , brindando herramientas prácticas para conocer y aplicar técnicas seguras en la manipulación y transporte de cargas, así como medidas preventivas frente a posturas forzadas, estáticas, prolongadas y trabajos repetitivos, con el fin de prevenir y controlar los trastornos osteomusculares y proteger la salud de los trabajadores."/>
    <s v=" Reconocer los riesgos ergonómicos presentes en las actividades del sector eléctrico y construcción._x000a_Aplicar técnicas seguras de manipulación y transporte de cargas._x000a_Implementar medidas preventivas frente a posturas forzadas, estáticas y prolongadas._x000a_Identificar los riesgos asociados al trabajo repetitivo y aplicar prácticas de control._x000a_Prevenir la aparición de trastornos osteomusculares mediante buenas prácticas ergonómicas."/>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n v="1"/>
    <m/>
    <m/>
    <m/>
    <m/>
    <m/>
    <m/>
    <m/>
    <m/>
    <m/>
    <n v="0"/>
    <s v="Tema habilitación"/>
  </r>
  <r>
    <s v="PARTICIPACION Y CONSULTA"/>
    <x v="8"/>
    <s v="Reporte de accidentes, incidentes, actos inseguros  y lineamientos para su investigaciòn_x000a_"/>
    <s v="REQUISITO LEGAL"/>
    <s v="Capacitar y fortalecer los conocimientos sobre los lineamientos para el reporte e investigación de accidentes, incidentes y actos inseguros, asegurando el cumplimiento de la Resolución 1401 de 2007 y del procedimiento interno PR‑HSEQ‑05, con el fin de identificar causas, prevenir la repetición de eventos y mejorar las condiciones de seguridad y salud en el trabajo."/>
    <s v="Capacitar y fortalecer conocimientos en los lineamientos para el reporte de accidentes, incidentes y actos inseguros._x000a_Conocer y aplicar los requisitos de la Resolución 1401 de 2007 para la investigación de accidentes e incidentes de trabajo._x000a_Aplicar correctamente el procedimiento PR‑HSEQ‑05 – Reporte e Investigación de Incidentes y Accidentes de Trabajo._x000a_Reconocer la importancia del reporte oportuno e inmediato._x000a_Participar activamente en el proceso de investigación como herramienta de prevención."/>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n v="1"/>
    <m/>
    <m/>
    <m/>
    <m/>
    <m/>
    <m/>
    <m/>
    <m/>
    <m/>
    <n v="0"/>
    <m/>
  </r>
  <r>
    <s v="INTERVENCION DEL RIESGO"/>
    <x v="9"/>
    <s v="Seguridad Eléctrica:_x000a_Tema 2: Distancias de seguridad, técnica de trabajo, trabajo en proximidad"/>
    <s v="PROGRAMA DE GESTION/MATRIZ DE PELIGROS"/>
    <s v="Capacitar y fortalecer los conocimientos en seguridad eléctrica, mediante la planeación y aplicación de distancias de seguridad, el uso de técnicas de trabajo seguro y la identificación, evaluación y valoración de riesgos en actividades realizadas en proximidad a redes eléctricas, con el fin de prevenir accidentes graves o fatales y garantizar el cumplimiento de los procedimientos establecidos."/>
    <s v="Capacitar y fortalecer conocimientos en la planeación y aplicación de distancias de seguridad para personal especialista._x000a_Aplicar técnicas de trabajo seguro en actividades eléctricas._x000a_Identificar los peligros eléctricos presentes en trabajos en proximidad a redes._x000a_Evaluar y valorar los riesgos asociados al trabajo en proximidad, de acuerdo con la matriz de riesgos y el método IPER._x000a_Aplicar controles efectivos que reduzcan la probabilidad de contacto eléctrico o arco eléctrico."/>
    <n v="2"/>
    <s v="Teórico- Práctica"/>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n v="1"/>
    <m/>
    <m/>
    <m/>
    <m/>
    <m/>
    <m/>
    <m/>
    <m/>
    <m/>
    <n v="0"/>
    <s v="Tema habilitación"/>
  </r>
  <r>
    <s v="INTERVENCION DEL RIESGO"/>
    <x v="10"/>
    <s v="Señalizacion y tipos de señalizacion:  Inspecciones ( formatos y correcto diligenciamiento)"/>
    <s v="MATRIZ DE PELIGROS"/>
    <s v="Proporcionar a los trabajadores los conocimientos básicos y prácticos sobre señalización de seguridad y la realización de inspecciones de seguridad, que les permitan identificar los riesgos presentes en las diferentes áreas de la empresa, utilizar correctamente los formatos de inspección, y apoyar la implementación efectiva de las medidas de control."/>
    <s v=" Reconocer la importancia de la señalización como medida preventiva._x000a_Identificar los tipos de señalización de seguridad y su correcta aplicación en el lugar de trabajo._x000a_Comprender qué es una inspección de seguridad y por qué es fundamental para la prevención de accidentes._x000a_Aplicar correctamente los formatos de inspección, diligenciándolos de forma clara y objetiva._x000a_Identificar actos y condiciones inseguras durante las inspecciones._x000a_Contribuir activamente en la propuesta y seguimiento de medidas de control."/>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n v="1"/>
    <m/>
    <m/>
    <m/>
    <m/>
    <m/>
    <m/>
    <m/>
    <m/>
    <n v="0"/>
    <m/>
  </r>
  <r>
    <s v="INTERVENCION DEL RIESGO"/>
    <x v="11"/>
    <s v="Habilidades blandas:_x000a_Tema 1. '¿Lideres o Jefes?: Conceptos Liderazgo – Tipos de Liderazgo – Proceso de Liderazgo – Anti líder – Recomendaciones"/>
    <s v="PROGRAMA DE GESTION/REQUISITO LEGAL/HABILITACION"/>
    <s v="Capacitar y fortalecer los conocimientos del personal en habilidades blandas asociadas al liderazgo, sensibilizando sobre la importancia de los estilos de mando y los tipos de liderazgo, con el fin de fortalecer las habilidades del equipo de trabajo que influyen en las actuaciones técnicas, ambientales y de seguridad y salud en el trabajo"/>
    <s v="_x000a_Sensibilizar al personal acerca de la diferencia entre jefe y líder._x000a_Reconocer los conceptos básicos de liderazgo y su aplicación en campo._x000a_Identificar los diferentes tipos de liderazgo y su impacto en los equipos de trabajo._x000a_Comprender el proceso de liderazgo y su relación con la cultura de seguridad._x000a_Identificar conductas del anti‑líder y sus consecuencias en el desempeño del equipo._x000a_Brindar recomendaciones prácticas para fortalecer un liderazgo positivo en el sector eléctrico y construcción."/>
    <n v="2"/>
    <s v="Magistral interactiva con el trabajador"/>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m/>
    <n v="1"/>
    <m/>
    <m/>
    <m/>
    <m/>
    <m/>
    <m/>
    <m/>
    <m/>
    <n v="0"/>
    <s v="Tema habilitación"/>
  </r>
  <r>
    <s v="INTERVENCION DEL RIESGO"/>
    <x v="11"/>
    <s v="Tema 2. 'Liderazgo Inspirador: Empoderamiento liderazgo en comportamientos seguros – Liderazgo Transformacional"/>
    <s v="PROGRAMA DE GESTION/REQUISITO LEGAL/HABILITACION"/>
    <s v="Capacitar y fortalecer los conocimientos del personal enl liderazgo inspirador o transformacional, brindando herramientas que permitan incentivar cambios de comportamiento orientados a la ejecución de actividades seguras y a la generación de ambientes de trabajo saludables."/>
    <s v="_x000a_Dar a conocer el concepto de liderazgo inspirador y transformacional aplicado al sector eléctrico y de la construcción._x000a_Fortalecer las capacidades de liderazgo para influir en comportamientos seguros._x000a_Promover el empoderamiento del personal como estrategia para la prevención de accidentes._x000a_Reconocer la relación entre liderazgo, cultura de seguridad y ambientes laborales saludables._x000a_Brindar herramientas prácticas para generar cambios positivos de comportamiento en los equipos de trabajo"/>
    <n v="2"/>
    <s v="Magistral interactiva con el trabajador"/>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m/>
    <n v="1"/>
    <m/>
    <m/>
    <m/>
    <m/>
    <m/>
    <m/>
    <m/>
    <m/>
    <n v="0"/>
    <s v="Tema habilitación"/>
  </r>
  <r>
    <s v="INTERVENCION DEL RIESGO"/>
    <x v="12"/>
    <s v="Riesgo Sociopolítico"/>
    <s v="MATRIZ DE PELIGROS"/>
    <s v="_x000a_Capacitar y fortalecer los conocimientos del personal sobre los riesgos sociopolíticos presentes en el entorno laboral, dando a conocer las principales amenazas y las medidas de seguridad a aplicar ante situaciones de riesgo como presencia de artefactos explosivos, conflicto armado o social, secuestro, extorsión, hurto calificado u otros eventos asociados."/>
    <s v="_x000a_Dar a conocer el concepto de riesgo sociopolítico y su impacto en las actividades operativas._x000a_Identificar los principales riesgos sociopolíticos que pueden afectar al sector eléctrico y construcción._x000a_Sensibilizar al personal sobre las medidas preventivas y de autoprotección._x000a_Brindar lineamientos generales de actuación ante la identificación de artefactos explosivos._x000a_Fortalecer la capacidad de reacción ante situaciones de conflicto social o armado, secuestro y extorsión."/>
    <n v="2"/>
    <s v="Magistral interactiva con el trabajador"/>
    <s v="Evaluacion Escrita con calificación"/>
    <s v="Registro de asistencia, evaluacion y/o certificado"/>
    <s v="Todos los trabajadores asociado al contrato"/>
    <s v="ESSA EPM_x000a_Servicios de mantenimiento de líneas de transmisión de energía CW261422"/>
    <x v="1"/>
    <m/>
    <m/>
    <m/>
    <n v="1"/>
    <m/>
    <m/>
    <m/>
    <m/>
    <m/>
    <m/>
    <m/>
    <m/>
    <n v="0"/>
    <m/>
  </r>
  <r>
    <s v="INTERVENCION DEL RIESGO"/>
    <x v="4"/>
    <s v="Tema 4. Promoción de la Cultura de Seguridad "/>
    <s v="PROGRAMA DE GESTION/REQUISITO LEGAL/HABILITACION"/>
    <s v="Capacitar y fortalecer los conocimientos del personal, promoviendo una cultura de seguridad basada en la prevención de riesgos, el autocuidado y el cumplimiento de las normas de seguridad, con el fin de reducir accidentes e incidentes de trabaj"/>
    <s v="Importancia del uso adecuado de los Equipos de Protección Personal (EPP)._x000a_Importancia del cumplimiento de normas y procedimientos de seguridad._x000a_Comprensión de accidentes e incidentes de trabajo y la importancia del reporte oportuno."/>
    <n v="2"/>
    <s v="Magistral interactiva con el trabajador"/>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m/>
    <m/>
    <n v="1"/>
    <m/>
    <m/>
    <m/>
    <m/>
    <m/>
    <m/>
    <m/>
    <n v="0"/>
    <s v="Tema habilitación"/>
  </r>
  <r>
    <s v="INTERVENCION DEL RIESGO"/>
    <x v="13"/>
    <s v="Prevenciòn al consumo de drogas y alcohol"/>
    <s v="PROGRAMA DE GESTION/MATRIZ DE PELIGROS"/>
    <s v="Capacitar y fortalecer los conocimientos del personal sobre la prevención del consumo de drogas y alcohol, promoviendo estilos de vida saludables y seguros, que contribuyan a la prevención de accidentes, enfermedades y riesgos laborales."/>
    <s v="Generar conciencia sobre los daños físicos y de salud que produce el consumo de sustancias psicoactivas y alcohol._x000a_Reconocer las consecuencias laborales del consumo de alcohol y drogas, especialmente en actividades de alto riesgo del sector eléctrico y de la construcción._x000a_Identificar los impactos sociales y familiares asociados al consumo de sustancias psicoactivas y alcohol._x000a_Promover el autocuidado y la toma de decisiones responsables, fomentando una vida sana, segura y libre de adicciones._x000a_Prevenir enfermedades, accidentes e incidentes de trabajo derivados del consumo de alcohol y drogas."/>
    <n v="2"/>
    <s v="Magistral interactiva con el trabajador"/>
    <s v="Evaluacion Escrita con calificación"/>
    <s v="Registro de asistencia, evaluacion y/o certificado"/>
    <s v="Todos los trabajadores asociado al contrato"/>
    <s v="ESSA EPM_x000a_Servicios de mantenimiento de líneas de transmisión de energía CW261422"/>
    <x v="1"/>
    <m/>
    <m/>
    <m/>
    <m/>
    <n v="1"/>
    <m/>
    <m/>
    <m/>
    <m/>
    <m/>
    <m/>
    <m/>
    <n v="0"/>
    <m/>
  </r>
  <r>
    <s v="INTERVENCION DEL RIESGO"/>
    <x v="7"/>
    <s v="Riesgo Biomecanico en actividades operativas"/>
    <s v="PROGRAMA DE GESTION/MATRIZ DE PELIGROS"/>
    <s v="Capacitar y fortalecer los conocimientos del personal sobre el riesgo biomecánico presente en las actividades operativas, brindando herramientas para la prevención de lesiones musculoesqueléticas y la ejecución segura de las labores."/>
    <s v="Identificar el riesgo biomecánico asociado a las actividades operativas propias del sector eléctrico y de la construcción._x000a_Prevenir lesiones musculoesqueléticas, mediante la adopción de posturas correctas y prácticas de trabajo seguro._x000a_Aplicar técnicas adecuadas de manipulación manual de materiales, reduciendo la sobrecarga física y el esfuerzo innecesario._x000a_Utilizar correctamente herramientas y equipos, minimizando movimientos repetitivos, posturas forzadas y esfuerzos prolongados._x000a_Promover el autocuidado y la conciencia preventiva como parte de la cultura de seguridad y salud en el trabaj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n v="1"/>
    <m/>
    <m/>
    <m/>
    <m/>
    <m/>
    <m/>
    <m/>
    <n v="0"/>
    <s v="Tema habilitación"/>
  </r>
  <r>
    <s v="PLAN DE EMERGENCIAS"/>
    <x v="1"/>
    <s v="Control del fuego y procedimiento seguro de evacuación"/>
    <s v="PROGRAMA DE GESTION/REQUISITO LEGAL/HABILITACION/MATRIZ DE PELIGROS"/>
    <s v="Capacitar a los trabajadores para prevenir y controlar con seguridad conatos de incendio, mediante el uso adecuado de extintores, la identificación de rutas de evacuación seguras y la correcta aplicación de los procedimientos de evacuación, con el fin de proteger la vida y minimizar daños durante una emergencia."/>
    <s v="Identificar los riesgos de incendio presentes en su área de trabajo._x000a_Reconocer los tipos de fuego y el extintor adecuado para cada caso._x000a_Aplicar correctamente la técnica de uso del extintor de forma segura._x000a_Actuar de manera rápida y ordenada ante un conato de incendio._x000a_Identificar y utilizar las rutas de evacuación seguras establecidas._x000a_Ejecutar el procedimiento de evacuación sin generar pánico._x000a_Reconocer cuándo intentar controlar el fuego y cuándo evacuar de inmediato._x000a_Seguir las instrucciones de las brigadas y líderes de evacuación._x000a_Contribuir a la protección de la vida y reducción de daños durante una emergencia."/>
    <n v="2"/>
    <s v="Teórico - Práctica"/>
    <s v="Evaluación escrita con calificación"/>
    <s v="Registro de asistencia, evaluacion y/o certificado"/>
    <s v="Todos los trabajadores asociado al contrato"/>
    <s v="ESSA EPM_x000a_Servicios de mantenimiento de líneas de transmisión de energía CW261422"/>
    <x v="1"/>
    <m/>
    <m/>
    <m/>
    <m/>
    <n v="1"/>
    <m/>
    <m/>
    <m/>
    <m/>
    <m/>
    <m/>
    <m/>
    <n v="0"/>
    <m/>
  </r>
  <r>
    <s v="INTERVENCION DEL RIESGO"/>
    <x v="11"/>
    <s v="Tema 3. Formación en lideres en seguridad y salud en el trabajo bajo el Fortalecimiento en Habilidades blandas"/>
    <s v="PROGRAMA DE GESTION/REQUISITO LEGAL/HABILITACION/MATRIZ DE PELIGROS"/>
    <s v="Fortalecer y motivar en los trabajadores el desarrollo de una conciencia activa en seguridad y salud en el trabajo, fortaleciendo sus habilidades blandas y su rol como líderes en seguridad, integrando comportamientos seguros en el desarrollo de sus actividades cotidianas."/>
    <s v="Reconocer la importancia de la Seguridad y Salud en el Trabajo como parte de su responsabilidad individual y colectiva._x000a_Desarrollar una conciencia activa en seguridad, aplicando el autocuidado en sus actividades diarias._x000a_Identificar su rol como líder en seguridad, independientemente de su cargo o función._x000a_Fortalecer habilidades blandas clave como la comunicación efectiva, el trabajo en equipo y la empatía._x000a_Promover y reforzar comportamientos seguros en sí mismos y en sus compañeros de trabajo._x000a_Comunicar de manera asertiva actos y condiciones inseguras._x000a_Participar activamente en la prevención de accidentes e incidentes._x000a_Integrar la seguridad como un valor permanente en el desarrollo de sus labores cotidiana"/>
    <n v="2"/>
    <s v="Magistral interactiva con el trabajador"/>
    <s v="Evaluación escrita y/o Taller"/>
    <s v="Registro de asistencia y  evaluación y/o taller y/o certificado"/>
    <s v="Liniero I, Liniero II, Jefe de trabajos, vigía de prevención ( todos los operativos)"/>
    <s v="ESSA EPM_x000a_Servicios de mantenimiento de líneas de transmisión de energía CW261422"/>
    <x v="0"/>
    <m/>
    <m/>
    <m/>
    <m/>
    <n v="1"/>
    <m/>
    <m/>
    <m/>
    <m/>
    <m/>
    <m/>
    <m/>
    <n v="0"/>
    <s v="Tema habilitación"/>
  </r>
  <r>
    <s v="INTERVENCION DEL RIESGO"/>
    <x v="14"/>
    <s v="Riesgo quimico: Manipulaciòn segura de sustancias quimicas,almacenamiento, hojas de seguridad, matriz de compatibilidad "/>
    <s v="PROGRAMA DE GESTION/REQUISITO LEGAL/HABILITACION/MATRIZ DE PELIGROS"/>
    <s v="Dar a conocer al personal los lineamientos para la rotulación, almacenamiento y manipulación segura de sustancias químicas, fortaleciendo la prevención de accidentes, enfermedades laborales y daños al ambiente, conforme a los criterios del Sistema Globalmente Armonizado (SGA)."/>
    <s v="Identificar el riesgo químico presente en las sustancias utilizadas durante el desarrollo de sus actividades laborales._x000a_Reconocer la importancia de la rotulación adecuada de productos químicos, de acuerdo con el Sistema Globalmente Armonizado (SGA)._x000a_Aplicar prácticas seguras para la manipulación de sustancias químicas, reduciendo la exposición y el riesgo de accidentes._x000a_Adoptar lineamientos correctos para el almacenamiento de productos químicos, teniendo en cuenta la compatibilidad química._x000a_Interpretar y utilizar adecuadamente las Hojas de Datos de Seguridad (HDS/MSDS) como herramienta fundamental para la prevención de emergencias químicas._x000a_Comprender y aplicar la matriz de compatibilidad, evitando reacciones peligrosas entre sustancias químicas."/>
    <n v="2"/>
    <s v="Magistral interactiva con el trabajador"/>
    <s v="Evaluacion Escrita con calificación"/>
    <s v="Registro de asistencia, evaluacion y/o certificado"/>
    <s v="Todos los trabajadores asociado al contrato"/>
    <s v="ESSA EPM_x000a_Servicios de mantenimiento de líneas de transmisión de energía CW261422"/>
    <x v="1"/>
    <m/>
    <m/>
    <m/>
    <m/>
    <m/>
    <n v="1"/>
    <m/>
    <m/>
    <m/>
    <m/>
    <m/>
    <m/>
    <n v="0"/>
    <m/>
  </r>
  <r>
    <s v="INTERVENCION DEL RIESGO"/>
    <x v="11"/>
    <s v="Tècnicas de observaciòn: Tipos de Observación – Técnicas de Observación – Tipos de Feedback"/>
    <s v="PROGRAMA DE GESTION/REQUISITO LEGAL/HABILITACION"/>
    <s v="Fortalecer las técnicas de observación de conductas seguras e inseguras, aplicando la metodología de Seguridad Basada en el Comportamiento (SBC), con el fin de promover el reporte oportuno de actos y condiciones de seguridad y prevenir la materialización de accidentes de trabajo."/>
    <s v="Comprender los principios de la Seguridad Basada en el Comportamiento (SBC) como herramienta preventiva en Seguridad y Salud en el Trabajo._x000a_Reconocer los diferentes tipos de observación, aplicables a las actividades operativas y cotidianas._x000a_Aplicar técnicas efectivas de observación de conductas, enfocadas en identificar actos y condiciones subestándar._x000a_Valorar la importancia del reporte oportuno de actos y condiciones inseguras, como medio para prevenir accidentes de trabajo._x000a_Brindar feedback efectivo, respetuoso y constructivo que promueva cambios positivos en el comportamiento segur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n v="1"/>
    <m/>
    <m/>
    <m/>
    <m/>
    <m/>
    <m/>
    <n v="0"/>
    <s v="Tema habilitación"/>
  </r>
  <r>
    <s v="INTERVENCION DEL RIESGO"/>
    <x v="5"/>
    <s v="Uso y Cuidado Correcto del Equipos y elementos de de Protección Personal (EPP)"/>
    <s v="PROGRAMA DE GESTION/REQUISITO LEGAL/HABILITACION/MATRIZ DE PELIGROS"/>
    <s v="Capacitar a los trabajadores en la correcta selección, uso, mantenimiento y almacenamiento del Equipo de Protección Personal (EPP), garantizando su eficacia como medida de control y contribuyendo a la minimización de los riesgos laborales."/>
    <s v="Reconocer la importancia del EPP como última barrera de protección frente a los riesgos laborales._x000a_Identificar y seleccionar correctamente los elementos de protección personal entregados, de acuerdo con el tipo de riesgo y la actividad a realizar._x000a_Utilizar adecuadamente el EPP, garantizando su correcto ajuste y funcionamiento durante la ejecución de las tareas._x000a_Aplicar prácticas adecuadas de mantenimiento y limpieza del EPP, prolongando su vida útil y asegurando su efectividad._x000a_Almacenar correctamente los elementos de protección personal, evitando su deterioro o contaminación._x000a_Promover el autocuidado y la responsabilidad individual, reforzando una cultura de seguridad y prevención en el trabajo"/>
    <n v="2"/>
    <s v="Magistral interactiva con el trabajador"/>
    <s v="Taller practico"/>
    <s v="Registro de asistencia, evaluacion y/o certificado"/>
    <s v="Todos los trabajadores asociado al contrato"/>
    <s v="ESSA EPM_x000a_Servicios de mantenimiento de líneas de transmisión de energía CW261422"/>
    <x v="1"/>
    <m/>
    <m/>
    <m/>
    <m/>
    <m/>
    <n v="1"/>
    <m/>
    <m/>
    <m/>
    <m/>
    <m/>
    <m/>
    <n v="0"/>
    <s v="Tema habilitación"/>
  </r>
  <r>
    <s v="INTERVENCION DEL RIESGO"/>
    <x v="15"/>
    <s v="Manipulación segura de herramientas y equipos"/>
    <s v="PROGRAMA DE GESTION/MATRIZ DE PELIGROS"/>
    <s v="Capacitar al personal en acciones seguras para la manipulación, cargue, traslado y uso adecuado de herramientas y equipos, con enfoque en la prevención del riesgo mecánico, con el fin de evitar golpes, atrapamientos, choques, cortes y otros accidentes de trabajo."/>
    <s v="Identificar el riesgo mecánico asociado a la manipulación de herramientas y equipos durante la ejecución de sus actividades._x000a_Reconocer las acciones inseguras que pueden generar golpes, atrapamientos, choques, cortes o aplastamientos._x000a_Aplicar técnicas seguras de cargue y traslado de herramientas y equipos, reduciendo el riesgo de accidentes y lesiones._x000a_Utilizar correctamente las herramientas y equipos, respetando su diseño, función y procedimientos de seguridad._x000a_Inspeccionar previamente las herramientas y equipos, detectando condiciones inseguras antes de su uso._x000a_Promover el autocuidado y la responsabilidad individual, fortaleciendo una cultura de prevención frente al riesgo mecánic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n v="1"/>
    <m/>
    <m/>
    <m/>
    <m/>
    <m/>
    <m/>
    <n v="0"/>
    <s v="Tema habilitación(AD)"/>
  </r>
  <r>
    <s v="INTERVENCION DEL RIESGO"/>
    <x v="13"/>
    <s v="Gestión del estrés y salud Mental_x000a_"/>
    <s v="PROGRAMA DE GESTION/REQUISITO LEGAL/HABILITACION/MATRIZ DE PELIGROS"/>
    <s v="Fortalecer las competencias de los trabajadores en gestión del estrés y cuidado de la salud mental, mediante la adopción de técnicas y estrategias prácticas que favorezcan el equilibrio entre la vida personal y laboral, promoviendo el bienestar integral y el desempeño seguro en el trabajo."/>
    <s v="Reconocer el estrés laboral y sus principales causas, identificando signos y síntomas físicos, emocionales y conductuales._x000a_Aplicar técnicas básicas de manejo del estrés, que contribuyan al autocontrol emocional y al bienestar mental._x000a_Desarrollar estrategias para equilibrar la vida personal y laboral, reduciendo el impacto del estrés en la salud y el desempeño._x000a_Fomentar el autocuidado y la conciencia emocional, como factores clave para la prevención de afectaciones a la salud mental._x000a_Promover ambientes laborales saludables, basados en el respeto, la comunicación y el apoyo mutu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n v="1"/>
    <m/>
    <m/>
    <m/>
    <m/>
    <m/>
    <m/>
    <n v="0"/>
    <s v="Tema habilitación"/>
  </r>
  <r>
    <s v="INTERVENCION DEL RIESGO"/>
    <x v="5"/>
    <s v="Cultura de Seguridad ( psicosocial)"/>
    <s v="PROGRAMA DE GESTION/REQUISITO LEGAL/HABILITACION"/>
    <s v="Dar a conocer al personal la importancia del reporte de incidentes y condiciones inseguras, fortaleciendo la construcción de una mentalidad proactiva de seguridad, basada en la participación, la prevención y el autocuidado, como parte de una cultura organizacional segura y saludable."/>
    <s v="Reconocer la importancia del reporte oportuno de incidentes y condiciones inseguras, como herramienta fundamental para la prevención de accidentes y enfermedades laborales._x000a_Identificar barreras psicosociales que limitan el reporte (miedo, indiferencia, normalización del riesgo) y superarlas mediante una comunicación abierta y responsable._x000a_Desarrollar una mentalidad proactiva de seguridad, anticipándose a los riesgos antes de que se materialicen en accidentes._x000a_Fomentar la participación activa de los trabajadores, promoviendo la corresponsabilidad en la gestión de la seguridad y salud en el trabajo._x000a_Fortalecer la conciencia individual y colectiva, integrando el comportamiento seguro en las actividades cotidiana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n v="1"/>
    <m/>
    <m/>
    <m/>
    <m/>
    <m/>
    <n v="0"/>
    <s v="Tema habilitación"/>
  </r>
  <r>
    <s v="INTERVENCION DEL RIESGO"/>
    <x v="16"/>
    <s v="Caídas a nivel/oden y aseo "/>
    <s v="PROGRAMA DE GESTION/REQUISITO LEGAL/HABILITACION"/>
    <s v="Fortalecer en el personal la habilidad de identificar riesgos y peligros durante el desplazamiento por terrenos irregulares, promoviendo la importancia del orden y aseo en los sitios de trabajo, elementos distractores, tecnicas de desplazamiento con el fin de generar controles efectivos que permitan disminuir el riesgo de caídas a nivel."/>
    <s v="Identificar los riesgos asociados a caídas a nivel, presentes durante el desplazamiento por superficies irregulares, húmedas, desordenadas o mal señalizadas._x000a_Reconocer los peligros generados por la falta de orden y aseo, como materiales mal ubicados, residuos, cables, material vegetal, , herramientas en las áreas de tránsito y uso de elementos distractores como el celular._x000a_Desarrollar una actitud preventiva frente a las condiciones del entorno, anticipándose a situaciones que puedan causar caídas._x000a_Técncias basicas para desplazamiento por terrenos irregulares_x000a_Aplicar acciones de control relacionadas con el orden, el aseo y la señalización adecuada de los sitios de trabajo._x000a_Promover el autocuidado y el cuidado colectivo, entendiendo que el orden y el aseo y evitar elementos distractores son responsabilidad de todo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n v="1"/>
    <m/>
    <m/>
    <m/>
    <m/>
    <m/>
    <n v="0"/>
    <m/>
  </r>
  <r>
    <s v="INTERVENCION DEL RIESGO"/>
    <x v="17"/>
    <s v="_x000a_Técnicas de atención básica de emergencias por evento  ambiental y  acidente biològico"/>
    <s v="PROGRAMA DE GESTION/REQUISITO LEGAL/HABILITACION"/>
    <s v="Dar a conocer al personal técnicas básicas para la atención inicial de emergencias derivadas de eventos ambientales (derrames de sustancias químicas) y accidentes biológicos, con el fin de reducir el impacto en la salud, el ambiente y la seguridad, mientras se activa el protocolo de emergencia correspondiente."/>
    <s v="Identificar situaciones de emergencia ambiental y biológica que puedan presentarse durante el desarrollo de las actividades laborales._x000a_Reconocer las acciones iniciales seguras ante un derrame de sustancias químicas, evitando la exposición y la contaminación ambiental._x000a_Aplicar medidas básicas de atención en caso de mordedura de serpiente o picadura de animales peligrosos._x000a_Actuar de forma segura ante el contacto con plantas urticantes o venenosas, minimizando reacciones adversas._x000a_Fortalecer la toma de decisiones bajo situaciones de emergencia, priorizando la autoprotección y la activación de los canales de reporte y atención."/>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n v="1"/>
    <m/>
    <m/>
    <m/>
    <m/>
    <m/>
    <n v="0"/>
    <m/>
  </r>
  <r>
    <s v="PLAN DE EMERGENCIAS"/>
    <x v="1"/>
    <s v="Primeros auxilios - evacuaciòn y camillaje (Técnicas de atención básica método PAS ( proteger, avisar, socorrer) "/>
    <s v="PROGRAMA DE GESTION/REQUISITO LEGAL/HABILITACION"/>
    <s v="Dar a conocer a los trabajadores las actuaciones y técnicas básicas de primeros auxilios, evacuación y camillaje, aplicando el método PAS, que permitan la atención inmediata y segura de un lesionado que se encuentre en situación de riesgo, hasta la llegada de personal especializado."/>
    <s v="Reconocer situaciones de emergencia que requieran atención inmediata por accidentes asociados a riesgo de alturas, eléctrico, locativo y mecánico._x000a_Aplicar correctamente el método PAS (Proteger, Avisar, Socorrer) como base de la atención inicial de emergencias._x000a_Actuar de forma segura para proteger la escena y al lesionado, evitando riesgos adicionales para el rescatista y la víctima._x000a_Ejecutar técnicas básicas de primeros auxilios, priorizando la atención inicial del lesionado._x000a_Conocer técnicas seguras de evacuación y camillaje, de acuerdo con el tipo de lesión y el entorno del accidente."/>
    <n v="3"/>
    <s v=" Teorico-  Practico "/>
    <s v="Taller practico y/o taller"/>
    <s v="Registro de asistencia, evaluacion y/o certificado"/>
    <s v="Todos los trabajadores asociado al contrato"/>
    <s v="ESSA EPM_x000a_Servicios de mantenimiento de líneas de transmisión de energía CW261422"/>
    <x v="1"/>
    <m/>
    <m/>
    <m/>
    <m/>
    <m/>
    <m/>
    <n v="1"/>
    <m/>
    <m/>
    <m/>
    <m/>
    <m/>
    <n v="0"/>
    <s v="Tema habilitación"/>
  </r>
  <r>
    <s v="INTERVENCION DEL RIESGO"/>
    <x v="11"/>
    <s v="Tecnicas de asertividad: Comunicación Asertiva – Técnicas Asertivas – Habilidades Sociales. "/>
    <s v="Accidentalidad"/>
    <s v="Fortalecer en los trabajadores las habilidades sociales y de comunicación asertiva, que les permitan crear vínculos positivos, mejorar la convivencia laboral y facilitar el compromiso colectivo con la seguridad y el autocuidado, contribuyendo a la prevención de accidentes asociados a riesgos locativos y mecánicos."/>
    <s v="Comprender el concepto de asertividad y su importancia en las relaciones laborales seguras._x000a_Diferenciar los estilos de comunicación (pasivo, agresivo y asertivo) y su impacto en la seguridad._x000a_Aplicar técnicas de comunicación asertiva, favoreciendo el diálogo respetuoso y constructivo frente a situaciones de riesgo._x000a_Desarrollar habilidades sociales que promuevan el trabajo en equipo, la cooperación y el apoyo mutuo._x000a_Facilitar la identificación y comunicación de riesgos locativos y mecánicos, promoviendo el autocuidado y el cuidado de los compañero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n v="1"/>
    <m/>
    <m/>
    <m/>
    <m/>
    <m/>
    <n v="0"/>
    <s v="Tema habilitación"/>
  </r>
  <r>
    <s v="INTERVENCION DEL RIESGO"/>
    <x v="5"/>
    <s v="Toma de decisiónes y resolución de problemas en la gestión de los riesgos en el trabajo"/>
    <s v="PROGRAMA DE GESTION/REQUISITO LEGAL/HABILITACION"/>
    <s v="Brindar a los trabajadores herramientas para la toma de decisiones seguras y la resolución efectiva de problemas, fortaleciendo la evaluación de riesgos en tiempo real mediante el pensamiento crítico, con el fin de minimizar errores humanos y prevenir accidentes de trabajo."/>
    <s v="Reconocer la importancia de la toma de decisiones en la gestión del riesgo, especialmente en actividades críticas del trabajo diario._x000a_Aplicar técnicas de evaluación de riesgos en tiempo real, identificando peligros antes y durante la ejecución de las tareas._x000a_Desarrollar el pensamiento crítico, analizando situaciones laborales y anticipando posibles consecuencias._x000a_Identificar factores que favorecen el error humano, tales como la prisa, el exceso de confianza, la rutina y la distracción._x000a_Implementar estrategias prácticas para minimizar errores humanos, promoviendo decisiones seguras y responsable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n v="1"/>
    <m/>
    <m/>
    <m/>
    <m/>
    <n v="0"/>
    <s v="Tema habilitación"/>
  </r>
  <r>
    <s v="INTERVENCION DEL RIESGO"/>
    <x v="18"/>
    <s v="Desplazamientos seguros en la vía/seguridad vial pasajeros/seguridad vial a peatones_x000a_"/>
    <s v="PROGRAMA DE GESTION/REQUISITO LEGAL/HABILITACION/MATRIZ DE PELIGROS"/>
    <s v="Dar a conocer a los trabajadores buenas prácticas y conductas seguras de movilidad, promoviendo el respeto de los roles en la vía, el cumplimiento de la normatividad de tránsito y la identificación de factores de riesgo, con el fin de prevenir incidentes y accidentes viales durante los desplazamientos laborales y personales."/>
    <s v="Reconocer los diferentes roles en la vía (peatón, pasajero, conductor) y sus responsabilidades en la seguridad vial._x000a_Adoptar comportamientos seguros durante los desplazamientos, tanto en condición de peatón como de pasajero._x000a_Fomentar el respeto por los demás actores viales, promoviendo una convivencia responsable y preventiva en la vía._x000a_Conocer y aplicar la normatividad básica de tránsito, como parte del autocuidado y la cultura vial._x000a_Identificar los factores de riesgo más comunes en la vía, que incrementan la probabilidad de incidentes y accidente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n v="1"/>
    <m/>
    <m/>
    <m/>
    <m/>
    <n v="0"/>
    <m/>
  </r>
  <r>
    <s v="INTERVENCION DEL RIESGO"/>
    <x v="15"/>
    <s v="Riesgo de golpes por o contra objetos ( incluye caida de objetos ( altura), en almacenamiento de elementos, desplazamiento de materiales en terrenos inclinados  e irregulares etc."/>
    <s v="PROGRAMA DE GESTION/REQUISITO LEGAL/HABILITACION/MATRIZ DE PELIGROS"/>
    <s v="Dar a conocer a los trabajadores las medidas de seguridad necesarias para prevenir accidentes por golpes de o contra objetos, durante actividades con riesgo de caída de objetos desde altura, almacenamiento de elementos y manipulación y desplazamiento de materiales en terrenos regulares o irregulares, contribuyendo a la reducción de accidentes en el mantenimiento de líneas de transmisión."/>
    <s v="Identificar los riesgos asociados a golpes por o contra objetos, presentes en las actividades de mantenimiento de líneas de transmisión._x000a_Reconocer situaciones con riesgo de caída de objetos desde altura, derivadas del trabajo en estructuras, torres y postes._x000a_Aplicar medidas de seguridad durante el almacenamiento de materiales y herramientas, evitando desplazamientos o caídas inesperadas._x000a_Implementar prácticas seguras para la manipulación y traslado de materiales en terrenos inclinados, irregulares o de difícil acceso._x000a_Fomentar el uso adecuado de elementos de protección personal (EPP) como medida preventiva frente a impactos y golpes._x000a_Promover una actitud preventiva y de autocuidado, fortaleciendo la cultura de seguridad en actividades crítica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n v="1"/>
    <m/>
    <m/>
    <m/>
    <m/>
    <n v="0"/>
    <m/>
  </r>
  <r>
    <s v="INTERVENCION DEL RIESGO"/>
    <x v="17"/>
    <s v="Riesgo biologico : Bacterias, virus y hongos /Vegetación urticante, venenosa o punzante/ animales venenosos (serpientes, arañas, escorpiones, avispas, abejas) "/>
    <s v="CONTROL DE ACCIDENTALIDAD / PROGRAMA DE GESTION"/>
    <s v="Dar recomendaciones de seguridad y medidas preventivas al personal para la identificación y el manejo seguro del riesgo biológico, incluyendo la exposición a bacterias, virus, hongos, vegetación urticante, venenosa o punzante y animales venenosos, con el fin de prevenir enfermedades, accidentes e impactos en la salud de los trabajadores."/>
    <s v="Identificar los principales riesgos biológicos a los que pueden estar expuestos durante el desarrollo de sus actividades laborales._x000a_Reconocer la vegetación urticante, venenosa o punzante, y adoptar medidas preventivas para evitar el contacto._x000a_Identificar animales venenosos o potencialmente peligrosos (serpientes, arañas, escorpiones, avispas, abejas) y aplicar comportamientos seguros._x000a_Aplicar medidas de prevención ante posibles contagios de enfermedades infectocontagiosas, reduciendo la exposición y transmisión._x000a_Conocer las recomendaciones básicas de actuación ante un contacto o exposición a un riesgo biológic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n v="1"/>
    <m/>
    <m/>
    <m/>
    <m/>
    <n v="0"/>
    <m/>
  </r>
  <r>
    <s v="INTERVENCION DEL RIESGO"/>
    <x v="19"/>
    <s v="Riesgo auditivo"/>
    <s v="PROGRAMA DE GESTION/MATRIZ DE PELIGROS"/>
    <s v="Dar a conocer a los trabajadores el riesgo asociado a la exposición al ruido, sus efectos en la salud auditiva, así como los cuidados y controles a implementar, con el fin de prevenir la pérdida de la audición y promover el autocuidado en el entorno laboral."/>
    <s v="Identificar el riesgo auditivo derivado de la exposición a fuentes de ruido presentes en el desarrollo de sus actividades._x000a_Reconocer los efectos del ruido en la salud, incluyendo la pérdida auditiva temporal o permanente._x000a_Conocer los límites de exposición al ruido y la importancia de su control._x000a_Aplicar medidas de prevención y control, enfocadas en la reducción del ruido y la protección de la audición._x000a_Utilizar correctamente los elementos de protección auditiva, garantizando su eficacia._x000a_Promover hábitos de autocuidado auditivo, dentro y fuera del entorno laboral."/>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n v="1"/>
    <m/>
    <m/>
    <m/>
    <m/>
    <n v="0"/>
    <m/>
  </r>
  <r>
    <s v="INTERVENCION DEL RIESGO"/>
    <x v="7"/>
    <s v="Pausas activas/ calistenias/ higiene postural"/>
    <s v="CONTROL DE ACCIDENTALIDAD / PROGRAMA DE GESTION/MATRIZ DE PELIGROS"/>
    <s v="Dar a conocer a los trabajadores la importancia de la higiene postural, las pausas activas y la calistenia, mediante la aplicación de técnicas y ejercicios preventivos, con el fin de disminuir la fatiga laboral y prevenir trastornos osteomusculares, promoviendo el bienestar y el desempeño seguro en el trabajo."/>
    <s v="Reconocer la importancia de la higiene postural durante la ejecución de las actividades laborales, tanto estáticas como dinámicas._x000a_Identificar los riesgos ergonómicos asociados a malas posturas, movimientos repetitivos y sobreesfuerzos._x000a_Aplicar pausas activas como estrategia preventiva para reducir la fatiga física y mental._x000a_Realizar ejercicios de calistenia y estiramiento, contribuyendo a la movilidad, flexibilidad y fortalecimiento muscular._x000a_Promover el autocuidado físico, integrando hábitos saludables a la rutina laboral diaria."/>
    <n v="2"/>
    <s v="Teorico-  Practico "/>
    <s v="Evaluacion Oral/"/>
    <s v="Taller practico y/o taller/evaluyacion"/>
    <s v="Todos los trabajadores asociado al contrato"/>
    <s v="ESSA EPM_x000a_Servicios de mantenimiento de líneas de transmisión de energía CW261422"/>
    <x v="1"/>
    <m/>
    <m/>
    <m/>
    <m/>
    <m/>
    <m/>
    <m/>
    <m/>
    <n v="1"/>
    <m/>
    <m/>
    <m/>
    <n v="0"/>
    <m/>
  </r>
  <r>
    <s v="INTERVENCION DEL RIESGO"/>
    <x v="13"/>
    <s v="Prevenciòn del riesgo cardiovascular y otras enfermedades "/>
    <s v="PROGRAMA DE GESTION/MATRIZ DE PELIGROS"/>
    <s v=" Informar y concienciar a los trabajadores sobre la importancia de los estilos de vida saludables en la prevención y el control de las enfermedades cardiovasculares y otras enfermedades crónicas, promoviendo el autocuidado, la salud integral y la reducción de factores de riesgo asociados al trabajo y a la vida cotidiana."/>
    <s v="Reconocer los principales factores de riesgo cardiovascular, asociados a hábitos de vida no saludables._x000a_Identificar las enfermedades crónicas más frecuentes, tales como diabetes mellitus, hipertensión arterial, enfermedad pulmonar obstructiva crónica (EPOC), accidente cerebrovascular (ACV), obesidad, enfermedad hepática y trastornos derivados de la mala nutrición._x000a_Comprender la relación entre los estilos de vida y la salud, destacando el impacto del sedentarismo, la alimentación inadecuada, el consumo de alcohol, el tabaquismo y el estrés._x000a_Promover hábitos saludables, orientados a la prevención y control de enfermedades crónicas._x000a_Fomentar la responsabilidad individual frente al autocuidado y el seguimiento médico preventiv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n v="1"/>
    <m/>
    <m/>
    <m/>
    <n v="0"/>
    <m/>
  </r>
  <r>
    <s v="INTERVENCION DEL RIESGO"/>
    <x v="4"/>
    <s v="Cuidado visual"/>
    <s v="PROGRAMA DE GESTION/MATRIZ DE PELIGROS"/>
    <s v="Promover el cuidado de la salud visual de los trabajadores mediante la identificación de riesgos que afectan la visión, la adopción de hábitos visuales saludables y el uso adecuado de protección visual, con el fin de prevenir enfermedades, fatiga visual y accidentes en el entorno laboral y extralaboral."/>
    <s v="Reconocer los factores de riesgo visual presentes en su puesto de trabajo._x000a_Identificar síntomas de fatiga visual y alteraciones de la visión._x000a_Aplicar buenas prácticas de cuidado visual, especialmente frente a pantallas, iluminación y tareas de precisión._x000a_Utilizar de manera correcta los elementos de protección visual según la actividad desempeñada._x000a_Adoptar hábitos preventivos para disminuir el cansancio visual y proteger la salud ocular._x000a_Comprender la importancia de los controles médicos visuales periódicos._x000a_Contribuir a un ambiente de trabajo más seguro y saludable mediante el autocuidado visual."/>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n v="1"/>
    <m/>
    <m/>
    <m/>
    <n v="0"/>
    <m/>
  </r>
  <r>
    <s v="INTERVENCION DEL RIESGO"/>
    <x v="7"/>
    <s v="Manipulación y tansporte de cargas, posturas y trabajo repetitivo"/>
    <s v="CONTROL DE ACCIDENTALIDAD / PROGRAMA DE GESTION/MATRIZ DE PELIGROS"/>
    <s v="Brindar herramientas prácticas a los trabajadores que les permitan reconocer, aplicar y mantener técnicas seguras en la manipulación y transporte de cargas, así como medidas preventivas frente a posturas forzadas, estáticas, prolongadas y trabajos repetitivos, con el fin de prevenir y controlar trastornos osteomusculares."/>
    <s v=" Reconocer los riesgos osteomusculares asociados a la manipulación de cargas, posturas inadecuadas y tareas repetitivas._x000a_Aplicar correctamente técnicas seguras de manipulación y transporte manual de cargas._x000a_ Identificar posturas forzadas, estáticas y prolongadas, y adoptar posturas ergonómicas adecuadas._x000a_Implementar medidas preventivas durante trabajos repetitivos._x000a_ Participar activamente en la prevención de lesiones musculoesqueléticas en su puesto de trabajo."/>
    <n v="2"/>
    <s v="Taller Teorico-  Practico "/>
    <s v="Evaluación escrita con calificación"/>
    <s v="Registro de asistencia, evaluacion y/o certificado"/>
    <s v="Todos los trabajadores asociado al contrato"/>
    <s v="ESSA EPM_x000a_Servicios de mantenimiento de líneas de transmisión de energía CW261422"/>
    <x v="1"/>
    <m/>
    <m/>
    <m/>
    <m/>
    <m/>
    <m/>
    <m/>
    <m/>
    <n v="1"/>
    <m/>
    <m/>
    <m/>
    <n v="0"/>
    <m/>
  </r>
  <r>
    <s v="INTERVENCION DEL RIESGO"/>
    <x v="10"/>
    <s v="Señalizacion y tipos de señalizacion:  Inspecciones ( formatos y correcto diligenciamiento)"/>
    <s v="MATRIZ DE PELIGROS"/>
    <s v="Proporcionar a los trabajadores los conocimientos básicos y prácticos sobre señalización de seguridad y la realización de inspecciones de seguridad, que les permitan identificar los riesgos presentes en las diferentes áreas de la empresa, utilizar correctamente los formatos de inspección, y apoyar la implementación efectiva de las medidas de control."/>
    <s v=" Reconocer la importancia de la señalización como medida preventiva._x000a_Identificar los tipos de señalización de seguridad y su correcta aplicación en el lugar de trabajo._x000a_Comprender qué es una inspección de seguridad y por qué es fundamental para la prevención de accidentes._x000a_Aplicar correctamente los formatos de inspección, diligenciándolos de forma clara y objetiva._x000a_Identificar actos y condiciones inseguras durante las inspecciones._x000a_Contribuir activamente en la propuesta y seguimiento de medidas de control."/>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n v="1"/>
    <m/>
    <m/>
    <m/>
    <n v="0"/>
    <m/>
  </r>
  <r>
    <s v="INTERVENCION DEL RIESGO"/>
    <x v="18"/>
    <s v="Manejo Defensivo y Seguridad vial Vehículos Seguros y análisis de factores de riesgo en la vía."/>
    <s v="REQUISITO LEGAL"/>
    <s v="Dar a conocer a los trabajadores buenas prácticas y conductas seguras de movilidad, basadas en la normatividad vigente en tránsito y transporte, que les permitan desempeñar de manera segura su rol en la seguridad vial (conductor, peatón, pasajero o ciclista), fortalecer el concepto de vehículos seguros y analizar los factores de riesgo presentes en la vía, contribuyendo a la prevención de accidentes, lesiones y fatalidades viales."/>
    <s v="Reconocer la importancia de la seguridad vial en el ámbito laboral y cotidiano._x000a_Identificar los roles de la seguridad vial y sus responsabilidades._x000a_Aplicar principios de manejo defensivo para anticiparse y evitar incidentes en la vía._x000a_ Verificar condiciones de vehículos seguros antes y durante la conducción._x000a_Analizar los factores de riesgo viales (humanos, del vehículo y del entorno)._x000a_Adoptar comportamientos seguros conforme a la normatividad vigente de tránsito y transporte."/>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m/>
    <n v="1"/>
    <m/>
    <m/>
    <n v="0"/>
    <m/>
  </r>
  <r>
    <s v="INTERVENCION DEL RIESGO"/>
    <x v="11"/>
    <s v="Sinergia positiva"/>
    <s v="CONTROL DE ACCIDENTALIDAD / PROGRAMA DE GESTION/MATRIZ DE PELIGROS"/>
    <s v="Fortalecer en los colaboradores las habilidades necesarias para generar sinergia positiva,desarrollando las 5 C del trabajo en equipo (Comunicación.,Coordinación.Complementariedad, Confianza, Compromiso con cumplimiento normas de seguridad) , reconociendo los tipos de sinergia y mejorando la toma de decisiones, con el fin de potenciar el trabajo conjunto, el compromiso colectivo y el cumplimiento de las normas de seguridad. "/>
    <s v="Diferenciar un grupo de trabajo de un equipo de trabajo._x000a_Comprender el concepto de sinergia positiva y su impacto en los resultados. Fortalecer las 5 C del trabajo en equipo enfocado en seguridad. _x000a_Identificar los tipos de sinergia y su presencia en el entorno laboral._x000a_Desarrollar habilidades básicas para la toma de decisiones en equipo._x000a_Promover el compromiso individual y colectivo con las normas de seguridad y los objetivos comunes."/>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m/>
    <n v="1"/>
    <m/>
    <m/>
    <n v="0"/>
    <s v="Tema habilitación"/>
  </r>
  <r>
    <s v="INTERVENCION DEL RIESGO"/>
    <x v="19"/>
    <s v="Funcionamiento auditivo/Uso higiene protección auditiva_x000a__x000a_"/>
    <s v="PROGRAMA DE GESTION/MATRIZ DE PELIGROS"/>
    <s v="Capacitar al personal sobre el funcionamiento del oído humano, su anatomía y cuidado, así como la importancia del uso correcto, mantenimiento e higiene de los protectores auditivos, con el fin de prevenir daños auditivos, promover el autocuidado y fortalecer la cultura de seguridad y salud en el trabajo."/>
    <s v="Comprender el funcionamiento del sistema auditivo y cómo se produce la audición._x000a_Identificar la anatomía del oído (oído externo, medio e interno)._x000a_Reconocer los efectos del ruido sobre la audición y la salud._x000a_Aplicar buenas prácticas para el cuidado del oído._x000a_Usar correctamente los protectores auditivos según el tipo de riesgo._x000a_Realizar una adecuada limpieza, almacenamiento e higiene de la protección auditiva."/>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m/>
    <n v="1"/>
    <m/>
    <m/>
    <n v="0"/>
    <m/>
  </r>
  <r>
    <s v="INTERVENCION DEL RIESGO"/>
    <x v="13"/>
    <s v="Importancia de ejercicio y alimentaciòn sana-saludable _x000a_"/>
    <s v="PROGRAMA DE GESTION/MATRIZ DE PELIGROS"/>
    <s v="Dar a conocer a los trabajadores la importancia de la alimentación sana y la actividad física regular como pilares fundamentales de un estilo de vida saludable, destacando su impacto positivo en el sistema inmunológico, la salud física y mental, el desempeño laboral y la calidad de vida, tanto dentro como fuera del entorno laboral."/>
    <s v="Reconocer los beneficios de una alimentación equilibrada y la actividad física para la salud integral._x000a_Comprender cómo el ejercicio y una dieta saludable fortalecen el sistema inmunológico._x000a_Identificar hábitos alimenticios saludables aplicables a la rutina laboral y diaria._x000a_Conocer recomendaciones básicas de actividad física de acuerdo con su condición y tipo de trabajo._x000a_Adoptar prácticas de autocuidado que contribuyan a la prevención de enfermedades y al mejoramiento de la calidad de vida."/>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m/>
    <n v="1"/>
    <m/>
    <m/>
    <n v="0"/>
    <m/>
  </r>
  <r>
    <s v="INTERVENCIÒN DEL RIESGO / PLAN DE EMERGENCIAS"/>
    <x v="20"/>
    <s v="Gestión de emergencias primeros auxilios en pacientes por riesgo eléctrico_x000a_"/>
    <s v="CONTROL DE ACCIDENTALIDAD / PROGRAMA DE GESTION/MATRIZ DE PELIGROS"/>
    <s v="Capacitar a los trabajadores en la gestión de emergencias y atención en primeros auxilios frente a accidentes por riesgo eléctrico, proporcionando los conocimientos básicos y procedimientos seguros para la atención inicial del electrocutado y manejo de quemaduras, con el fin de reducir la gravedad de las lesiones, prevenir complicaciones y salvar vidas como parte de la atención previa a la médica especializada."/>
    <s v="Reconocer una emergencia por riesgo eléctrico y actuar de forma segura._x000a_Identificar los efectos de una descarga eléctrica en el cuerpo humano._x000a_Aplicar los protocolos básicos de primeros auxilios al electrocutado._x000a_Reconocer y atender quemaduras eléctricas, evitando errores comunes._x000a_Activar correctamente la cadena de atención de emergencias._x000a_Proteger su propia integridad durante la atención de la emergencia."/>
    <n v="2"/>
    <s v="Teórico - Práctica"/>
    <s v="Evaluación escrita con calificación"/>
    <s v="Registro de asistencia, evaluacion y/o certificado"/>
    <s v="Todos los trabajadores asociado al contrato"/>
    <s v="ESSA EPM_x000a_Servicios de mantenimiento de líneas de transmisión de energía CW261422"/>
    <x v="1"/>
    <m/>
    <m/>
    <m/>
    <m/>
    <m/>
    <m/>
    <m/>
    <m/>
    <m/>
    <m/>
    <n v="1"/>
    <m/>
    <n v="0"/>
    <s v="Tema habilitación(AD)"/>
  </r>
  <r>
    <s v="INTERVENCION DEL RIESGO"/>
    <x v="15"/>
    <s v="Manipulacion de herramientas de corte ( machete, motosierra, guadañadoras, podadoras alturas y otra herramientas de corte)"/>
    <s v="CONTROL DE ACCIDENTALIDAD / PROGRAMA DE GESTION/MATRIZ DE PELIGROS"/>
    <s v="Fortalecer en los trabajadores las conductas seguras en la manipulación de herramientas de corte, promoviendo la correcta elección, uso, inspección y mantenimiento de las mismas, de acuerdo con la actividad a ejecutar, con el fin de prevenir accidentes de trabajo, lesiones graves y daños a equipos."/>
    <s v="Identificar los riesgos asociados al uso de herramientas de corte._x000a_Seleccionar la herramienta adecuada según la actividad y el entorno._x000a_Aplicar técnicas seguras de uso, transporte y almacenamiento._x000a_Reconocer y corregir actos y condiciones inseguras._x000a_Usar correctamente los Elementos de Protección Personal (EPP)._x000a_Realizar inspecciones básicas y mantenimiento preventivo."/>
    <n v="3"/>
    <s v="Taller Teorico-  Practico "/>
    <s v="Evaluación escrita con calificación"/>
    <s v="Registro de asistencia, evaluacion y/o certificado"/>
    <s v="Todos los trabajadores asociado al contrato"/>
    <s v="ESSA EPM_x000a_Servicios de mantenimiento de líneas de transmisión de energía CW261422"/>
    <x v="1"/>
    <m/>
    <m/>
    <m/>
    <m/>
    <m/>
    <m/>
    <m/>
    <m/>
    <m/>
    <m/>
    <n v="1"/>
    <m/>
    <n v="0"/>
    <s v="Tema habilitación"/>
  </r>
  <r>
    <s v="INTERVENCION DEL RIESGO"/>
    <x v="11"/>
    <s v="Gestión para el cuidado integral de la salud de los trabajadores ( prevención de estrés,depresión,ansiedad) "/>
    <s v="PROGRAMA DE GESTION/MATRIZ DE PELIGROS"/>
    <s v="Brindar a los trabajadores herramientas prácticas para la prevención y manejo del estrés, la ansiedad y la depresión, mediante el reconocimiento de los factores de riesgo psicosocial, promoviendo el autocuidado, el equilibrio emocional y el bienestar integral, que favorezca el desempeño laboral y la calidad de vida en los entornos laboral y personal."/>
    <s v="Comprender qué son los factores de riesgo psicosocial y su impacto en la salud._x000a_Identificar signos tempranos de estrés, ansiedad y depresión._x000a_Reconocer factores psicosociales presentes en el trabajo y la vida cotidiana._x000a_Aplicar estrategias prácticas de prevención y manejo emocional._x000a_Fortalecer habilidades de autocuidado, comunicación y afrontamiento._x000a_Conocer cuándo y cómo buscar apoyo oportuno."/>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1"/>
    <m/>
    <m/>
    <m/>
    <m/>
    <m/>
    <m/>
    <m/>
    <m/>
    <m/>
    <m/>
    <n v="1"/>
    <m/>
    <n v="0"/>
    <m/>
  </r>
  <r>
    <s v="ISO 900:2015"/>
    <x v="21"/>
    <s v="Sistema de Gestión de la Calidad "/>
    <s v="ISO 9001"/>
    <s v="Capacitar al personal en los principios, requisitos y responsabilidades establecidos en la Norma ISO 9001:2015, promoviendo la comprensión del Sistema de Gestión de la Calidad, la mejora continua y la orientación al cliente, asegurando la correcta aplicación de los procesos y el cumplimiento organizacional."/>
    <s v="Comprender qué es la ISO 9001 y para qué sirve_x000a_Reconocer su rol y responsabilidad dentro del Sistema de Gestión_x000a_Aplicar el enfoque basado en procesos y en riesgos_x000a_Contribuir a la satisfacción del cliente_x000a_Participar activamente en la mejora continua del SGC"/>
    <n v="2"/>
    <s v="Magistral interactiva con el trabajador"/>
    <s v="Evaluación escrita con calificación"/>
    <s v="Registro de asistencia, evaluacion y/o certificado"/>
    <s v="Todos los trabajadores asociado al contrato"/>
    <s v="ESSA EPM_x000a_Servicios de mantenimiento de líneas de transmisión de energía CW261422"/>
    <x v="2"/>
    <m/>
    <m/>
    <m/>
    <m/>
    <m/>
    <m/>
    <m/>
    <m/>
    <m/>
    <m/>
    <m/>
    <n v="1"/>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2" cacheId="0" applyNumberFormats="0" applyBorderFormats="0" applyFontFormats="0" applyPatternFormats="0" applyAlignmentFormats="0" applyWidthHeightFormats="1" dataCaption="Valores" updatedVersion="7" minRefreshableVersion="3" useAutoFormatting="1" itemPrintTitles="1" createdVersion="6" indent="0" outline="1" outlineData="1" multipleFieldFilters="0" chartFormat="11">
  <location ref="B4:C27" firstHeaderRow="1" firstDataRow="1" firstDataCol="1"/>
  <pivotFields count="27">
    <pivotField showAll="0" defaultSubtotal="0"/>
    <pivotField axis="axisRow" showAll="0" defaultSubtotal="0">
      <items count="96">
        <item m="1" x="47"/>
        <item m="1" x="55"/>
        <item m="1" x="82"/>
        <item m="1" x="27"/>
        <item m="1" x="63"/>
        <item m="1" x="39"/>
        <item m="1" x="28"/>
        <item m="1" x="92"/>
        <item x="3"/>
        <item m="1" x="75"/>
        <item x="1"/>
        <item m="1" x="44"/>
        <item m="1" x="68"/>
        <item m="1" x="58"/>
        <item n="PLAN EMERGENCIAS/PESV" m="1" x="25"/>
        <item m="1" x="51"/>
        <item m="1" x="46"/>
        <item m="1" x="62"/>
        <item m="1" x="57"/>
        <item m="1" x="74"/>
        <item m="1" x="80"/>
        <item m="1" x="29"/>
        <item m="1" x="87"/>
        <item m="1" x="81"/>
        <item m="1" x="65"/>
        <item m="1" x="31"/>
        <item m="1" x="93"/>
        <item m="1" x="49"/>
        <item n="PROGRAMA DE GESTIÓN DE RIESGO QUIMICO" m="1" x="52"/>
        <item m="1" x="54"/>
        <item m="1" x="45"/>
        <item m="1" x="89"/>
        <item x="12"/>
        <item x="17"/>
        <item m="1" x="40"/>
        <item x="21"/>
        <item m="1" x="34"/>
        <item m="1" x="37"/>
        <item m="1" x="77"/>
        <item n="PROGRAMA DE GESTIÓN PARA EL RIESGO ELÉCTRICO)" m="1" x="50"/>
        <item m="1" x="38"/>
        <item m="1" x="84"/>
        <item m="1" x="41"/>
        <item m="1" x="26"/>
        <item m="1" x="61"/>
        <item m="1" x="69"/>
        <item m="1" x="23"/>
        <item m="1" x="86"/>
        <item n="PLAN DE EMERGENCIAS_1" m="1" x="36"/>
        <item m="1" x="64"/>
        <item m="1" x="67"/>
        <item m="1" x="73"/>
        <item m="1" x="53"/>
        <item m="1" x="88"/>
        <item x="4"/>
        <item m="1" x="90"/>
        <item n="RIESGO LOCATIVO" m="1" x="33"/>
        <item m="1" x="91"/>
        <item x="9"/>
        <item m="1" x="35"/>
        <item x="11"/>
        <item x="13"/>
        <item m="1" x="66"/>
        <item m="1" x="83"/>
        <item m="1" x="70"/>
        <item m="1" x="85"/>
        <item m="1" x="79"/>
        <item m="1" x="60"/>
        <item m="1" x="95"/>
        <item m="1" x="94"/>
        <item m="1" x="42"/>
        <item m="1" x="30"/>
        <item n="PROGRAMA DE GESTIÓN DE RIESGO QUIMICO2" x="14"/>
        <item m="1" x="56"/>
        <item m="1" x="71"/>
        <item m="1" x="43"/>
        <item x="15"/>
        <item m="1" x="24"/>
        <item m="1" x="32"/>
        <item m="1" x="48"/>
        <item x="19"/>
        <item x="8"/>
        <item n="RIESGO LOCATIVO2" x="16"/>
        <item n="PROGRAMA DE GESTIÓN DE RIESGO QUIMICO22" m="1" x="22"/>
        <item n="PLAN DE EMERGENCIAS_12" m="1" x="78"/>
        <item x="0"/>
        <item m="1" x="59"/>
        <item x="10"/>
        <item m="1" x="76"/>
        <item x="18"/>
        <item m="1" x="72"/>
        <item x="7"/>
        <item x="20"/>
        <item x="5"/>
        <item x="6"/>
        <item x="2"/>
      </items>
    </pivotField>
    <pivotField showAll="0"/>
    <pivotField showAll="0"/>
    <pivotField showAll="0"/>
    <pivotField showAll="0"/>
    <pivotField showAll="0"/>
    <pivotField showAll="0"/>
    <pivotField showAll="0"/>
    <pivotField showAll="0"/>
    <pivotField showAll="0" defaultSubtotal="0"/>
    <pivotField showAll="0"/>
    <pivotField showAll="0">
      <items count="23">
        <item m="1" x="10"/>
        <item m="1" x="16"/>
        <item m="1" x="5"/>
        <item m="1" x="6"/>
        <item m="1" x="15"/>
        <item m="1" x="12"/>
        <item m="1" x="13"/>
        <item x="1"/>
        <item m="1" x="9"/>
        <item m="1" x="11"/>
        <item m="1" x="14"/>
        <item x="2"/>
        <item m="1" x="19"/>
        <item m="1" x="8"/>
        <item x="0"/>
        <item m="1" x="17"/>
        <item m="1" x="20"/>
        <item m="1" x="4"/>
        <item m="1" x="7"/>
        <item m="1" x="21"/>
        <item m="1" x="18"/>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23">
    <i>
      <x v="8"/>
    </i>
    <i>
      <x v="10"/>
    </i>
    <i>
      <x v="32"/>
    </i>
    <i>
      <x v="33"/>
    </i>
    <i>
      <x v="35"/>
    </i>
    <i>
      <x v="54"/>
    </i>
    <i>
      <x v="58"/>
    </i>
    <i>
      <x v="60"/>
    </i>
    <i>
      <x v="61"/>
    </i>
    <i>
      <x v="72"/>
    </i>
    <i>
      <x v="76"/>
    </i>
    <i>
      <x v="80"/>
    </i>
    <i>
      <x v="81"/>
    </i>
    <i>
      <x v="82"/>
    </i>
    <i>
      <x v="85"/>
    </i>
    <i>
      <x v="87"/>
    </i>
    <i>
      <x v="89"/>
    </i>
    <i>
      <x v="91"/>
    </i>
    <i>
      <x v="92"/>
    </i>
    <i>
      <x v="93"/>
    </i>
    <i>
      <x v="94"/>
    </i>
    <i>
      <x v="95"/>
    </i>
    <i t="grand">
      <x/>
    </i>
  </rowItems>
  <colItems count="1">
    <i/>
  </colItems>
  <dataFields count="1">
    <dataField name="Promedio de % COMPLETADO" fld="25" subtotal="average" baseField="1" baseItem="31" numFmtId="9"/>
  </dataFields>
  <formats count="1">
    <format dxfId="2">
      <pivotArea dataOnly="0" labelOnly="1" fieldPosition="0">
        <references count="1">
          <reference field="1" count="1">
            <x v="58"/>
          </reference>
        </references>
      </pivotArea>
    </format>
  </formats>
  <chartFormats count="2">
    <chartFormat chart="0" format="4"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SPONSABLES" xr10:uid="{00000000-0013-0000-FFFF-FFFF01000000}" sourceName="RESPONSABLES">
  <pivotTables>
    <pivotTable tabId="9" name="TablaDinámica2"/>
  </pivotTables>
  <data>
    <tabular pivotCacheId="1">
      <items count="22">
        <i x="1" s="1"/>
        <i x="2" s="1"/>
        <i x="0" s="1"/>
        <i x="10" s="1" nd="1"/>
        <i x="16" s="1" nd="1"/>
        <i x="5" s="1" nd="1"/>
        <i x="6" s="1" nd="1"/>
        <i x="15" s="1" nd="1"/>
        <i x="12" s="1" nd="1"/>
        <i x="13" s="1" nd="1"/>
        <i x="9" s="1" nd="1"/>
        <i x="11" s="1" nd="1"/>
        <i x="14" s="1" nd="1"/>
        <i x="19" s="1" nd="1"/>
        <i x="8" s="1" nd="1"/>
        <i x="17" s="1" nd="1"/>
        <i x="20" s="1" nd="1"/>
        <i x="4" s="1" nd="1"/>
        <i x="7" s="1" nd="1"/>
        <i x="21" s="1" nd="1"/>
        <i x="18"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ACTOR_DE_RIESGO_PROGRAMA" xr10:uid="{00000000-0013-0000-FFFF-FFFF02000000}" sourceName="FACTOR DE RIESGO/PROGRAMA">
  <pivotTables>
    <pivotTable tabId="9" name="TablaDinámica2"/>
  </pivotTables>
  <data>
    <tabular pivotCacheId="1">
      <items count="96">
        <i x="21" s="1"/>
        <i x="10" s="1"/>
        <i x="5" s="1"/>
        <i x="0" s="1"/>
        <i x="8" s="1"/>
        <i x="3" s="1"/>
        <i x="1" s="1"/>
        <i x="18" s="1"/>
        <i x="14" s="1"/>
        <i x="19" s="1"/>
        <i x="9" s="1"/>
        <i x="20" s="1"/>
        <i x="6" s="1"/>
        <i x="11" s="1"/>
        <i x="7" s="1"/>
        <i x="13" s="1"/>
        <i x="4" s="1"/>
        <i x="2" s="1"/>
        <i x="17" s="1"/>
        <i x="16" s="1"/>
        <i x="15" s="1"/>
        <i x="12" s="1"/>
        <i x="89" s="1" nd="1"/>
        <i x="83" s="1" nd="1"/>
        <i x="61" s="1" nd="1"/>
        <i x="23" s="1" nd="1"/>
        <i x="79" s="1" nd="1"/>
        <i x="67" s="1" nd="1"/>
        <i x="47" s="1" nd="1"/>
        <i x="91" s="1" nd="1"/>
        <i x="55" s="1" nd="1"/>
        <i x="65" s="1" nd="1"/>
        <i x="90" s="1" nd="1"/>
        <i x="82" s="1" nd="1"/>
        <i x="27" s="1" nd="1"/>
        <i x="63" s="1" nd="1"/>
        <i x="86" s="1" nd="1"/>
        <i x="70" s="1" nd="1"/>
        <i x="39" s="1" nd="1"/>
        <i x="28" s="1" nd="1"/>
        <i x="40" s="1" nd="1"/>
        <i x="94" s="1" nd="1"/>
        <i x="59" s="1" nd="1"/>
        <i x="72" s="1" nd="1"/>
        <i x="95" s="1" nd="1"/>
        <i x="30" s="1" nd="1"/>
        <i x="77" s="1" nd="1"/>
        <i x="37" s="1" nd="1"/>
        <i x="92" s="1" nd="1"/>
        <i x="87" s="1" nd="1"/>
        <i x="80" s="1" nd="1"/>
        <i x="64" s="1" nd="1"/>
        <i x="34" s="1" nd="1"/>
        <i x="74" s="1" nd="1"/>
        <i x="53" s="1" nd="1"/>
        <i x="75" s="1" nd="1"/>
        <i x="73" s="1" nd="1"/>
        <i x="88" s="1" nd="1"/>
        <i x="24" s="1" nd="1"/>
        <i x="84" s="1" nd="1"/>
        <i x="36" s="1" nd="1"/>
        <i x="78" s="1" nd="1"/>
        <i x="25" s="1" nd="1"/>
        <i x="51" s="1" nd="1"/>
        <i x="44" s="1" nd="1"/>
        <i x="66" s="1" nd="1"/>
        <i x="52" s="1" nd="1"/>
        <i x="22" s="1" nd="1"/>
        <i x="50" s="1" nd="1"/>
        <i x="76" s="1" nd="1"/>
        <i x="43" s="1" nd="1"/>
        <i x="48" s="1" nd="1"/>
        <i x="71" s="1" nd="1"/>
        <i x="32" s="1" nd="1"/>
        <i x="42" s="1" nd="1"/>
        <i x="62" s="1" nd="1"/>
        <i x="60" s="1" nd="1"/>
        <i x="56" s="1" nd="1"/>
        <i x="85" s="1" nd="1"/>
        <i x="81" s="1" nd="1"/>
        <i x="35" s="1" nd="1"/>
        <i x="26" s="1" nd="1"/>
        <i x="68" s="1" nd="1"/>
        <i x="29" s="1" nd="1"/>
        <i x="69" s="1" nd="1"/>
        <i x="54" s="1" nd="1"/>
        <i x="31" s="1" nd="1"/>
        <i x="93" s="1" nd="1"/>
        <i x="33" s="1" nd="1"/>
        <i x="45" s="1" nd="1"/>
        <i x="46" s="1" nd="1"/>
        <i x="49" s="1" nd="1"/>
        <i x="57" s="1" nd="1"/>
        <i x="58" s="1" nd="1"/>
        <i x="41" s="1" nd="1"/>
        <i x="3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TOR DE RIESGO/PROGRAMA 1" xr10:uid="{00000000-0014-0000-FFFF-FFFF01000000}" cache="SegmentaciónDeDatos_FACTOR_DE_RIESGO_PROGRAMA" caption="FACTOR DE RIESGO/PROGRAMA"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PONSABLES" xr10:uid="{00000000-0014-0000-FFFF-FFFF02000000}" cache="SegmentaciónDeDatos_RESPONSABLES" caption="RESPONSABLES" rowHeight="241300"/>
  <slicer name="FACTOR DE RIESGO/PROGRAMA" xr10:uid="{00000000-0014-0000-FFFF-FFFF03000000}" cache="SegmentaciónDeDatos_FACTOR_DE_RIESGO_PROGRAMA" caption="FACTOR DE RIESGO/PROGRAMA" startItem="1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PlanTrabajo4" displayName="PlanTrabajo4" ref="A4:AA53" totalsRowShown="0" headerRowDxfId="39" dataDxfId="37" headerRowBorderDxfId="38">
  <autoFilter ref="A4:AA53" xr:uid="{00000000-000C-0000-FFFF-FFFF00000000}"/>
  <tableColumns count="27">
    <tableColumn id="1" xr3:uid="{00000000-0010-0000-0000-000001000000}" name="OBJETIVO DE LA ACTIVIDAD" dataDxfId="36"/>
    <tableColumn id="2" xr3:uid="{00000000-0010-0000-0000-000002000000}" name="FACTOR DE RIESGO/PROGRAMA" dataDxfId="35"/>
    <tableColumn id="3" xr3:uid="{00000000-0010-0000-0000-000003000000}" name="TEMA DE INTERVENCIÓN:  definir que se quiere transmitir, antecedentes del riesgo o del evento" dataDxfId="34"/>
    <tableColumn id="26" xr3:uid="{47272540-FEC8-47DC-B9A9-4600634F3165}" name="Origen /necesidad" dataDxfId="33"/>
    <tableColumn id="13" xr3:uid="{4BA2E903-FFAE-4803-9E4C-4CB1C82A4F0E}" name="OBJETIVO" dataDxfId="32"/>
    <tableColumn id="15" xr3:uid="{6E3B4041-1EE7-4455-911D-FD7B8843F510}" name="OBJETIVOS ESPECÍFICOS" dataDxfId="31"/>
    <tableColumn id="31" xr3:uid="{74943432-5005-49AB-BE5C-1961C07B3E18}" name="Intensidad horaria por trabajador" dataDxfId="30"/>
    <tableColumn id="11" xr3:uid="{00000000-0010-0000-0000-00000B000000}" name="METODOLOGIA:  plantear la metodologia a utilizar en la actividad" dataDxfId="29"/>
    <tableColumn id="10" xr3:uid="{00000000-0010-0000-0000-00000A000000}" name="EVALUACIÓN:  definir si se realizara evaluacion, metodo de evaluación." dataDxfId="28"/>
    <tableColumn id="32" xr3:uid="{E262361F-4CAB-4B71-8C9F-6C36F8A31440}" name="Evidencia de la formaciòn" dataDxfId="27"/>
    <tableColumn id="4" xr3:uid="{00000000-0010-0000-0000-000004000000}" name="POBLACION OBJETO   " dataDxfId="26"/>
    <tableColumn id="5" xr3:uid="{00000000-0010-0000-0000-000005000000}" name="CENTRO DE TRABAJO" dataDxfId="25"/>
    <tableColumn id="6" xr3:uid="{00000000-0010-0000-0000-000006000000}" name="RESPONSABLES" dataDxfId="24"/>
    <tableColumn id="24" xr3:uid="{00000000-0010-0000-0000-000018000000}" name="ENE" dataDxfId="23"/>
    <tableColumn id="23" xr3:uid="{00000000-0010-0000-0000-000017000000}" name="FEB" dataDxfId="22"/>
    <tableColumn id="22" xr3:uid="{00000000-0010-0000-0000-000016000000}" name="MAR" dataDxfId="21"/>
    <tableColumn id="21" xr3:uid="{00000000-0010-0000-0000-000015000000}" name="ABR" dataDxfId="20"/>
    <tableColumn id="20" xr3:uid="{00000000-0010-0000-0000-000014000000}" name="MAY" dataDxfId="19"/>
    <tableColumn id="19" xr3:uid="{00000000-0010-0000-0000-000013000000}" name="JUN" dataDxfId="18"/>
    <tableColumn id="18" xr3:uid="{00000000-0010-0000-0000-000012000000}" name="JUL" dataDxfId="17"/>
    <tableColumn id="17" xr3:uid="{00000000-0010-0000-0000-000011000000}" name="AGO" dataDxfId="16"/>
    <tableColumn id="16" xr3:uid="{00000000-0010-0000-0000-000010000000}" name="SEP" dataDxfId="15"/>
    <tableColumn id="25" xr3:uid="{00000000-0010-0000-0000-000019000000}" name="OCT" dataDxfId="14"/>
    <tableColumn id="7" xr3:uid="{00000000-0010-0000-0000-000007000000}" name="NOV" dataDxfId="13"/>
    <tableColumn id="8" xr3:uid="{00000000-0010-0000-0000-000008000000}" name="DIC" dataDxfId="12"/>
    <tableColumn id="9" xr3:uid="{00000000-0010-0000-0000-000009000000}" name="% COMPLETADO" dataDxfId="11">
      <calculatedColumnFormula>IF(COUNTA(PlanTrabajo4[[#This Row],[ENE]:[DIC]])=0," ",(COUNTIF(PlanTrabajo4[[#This Row],[ENE]:[DIC]],"=2"))/(COUNTA(PlanTrabajo4[[#This Row],[ENE]:[DIC]])))</calculatedColumnFormula>
    </tableColumn>
    <tableColumn id="12" xr3:uid="{00000000-0010-0000-0000-00000C000000}" name="OBSERVACIONES Y SEGUIMIENTO " dataDxfId="10"/>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Trabajo" displayName="PlanTrabajo" ref="A1:M499" totalsRowShown="0">
  <autoFilter ref="A1:M499" xr:uid="{00000000-0009-0000-0100-000002000000}">
    <filterColumn colId="0">
      <filters>
        <filter val="CUMPLIMIENTO LEGAL"/>
      </filters>
    </filterColumn>
  </autoFilter>
  <tableColumns count="13">
    <tableColumn id="1" xr3:uid="{00000000-0010-0000-0100-000001000000}" name="OBJETIVO SGSST"/>
    <tableColumn id="2" xr3:uid="{00000000-0010-0000-0100-000002000000}" name="PROGRAMA"/>
    <tableColumn id="3" xr3:uid="{00000000-0010-0000-0100-000003000000}" name="ACTIVIDADES"/>
    <tableColumn id="4" xr3:uid="{00000000-0010-0000-0100-000004000000}" name="EVIDENCIA GENERADA"/>
    <tableColumn id="5" xr3:uid="{00000000-0010-0000-0100-000005000000}" name="CENTRO DE TRABAJO" dataDxfId="9"/>
    <tableColumn id="6" xr3:uid="{00000000-0010-0000-0100-000006000000}" name="RESPONSABLES" dataDxfId="8"/>
    <tableColumn id="7" xr3:uid="{00000000-0010-0000-0100-000007000000}" name="FECHA DE INICIO" dataDxfId="7"/>
    <tableColumn id="8" xr3:uid="{00000000-0010-0000-0100-000008000000}" name="FECHA DE FIN" dataDxfId="6"/>
    <tableColumn id="9" xr3:uid="{00000000-0010-0000-0100-000009000000}" name="% COMPLETADO" dataDxfId="5"/>
    <tableColumn id="15" xr3:uid="{00000000-0010-0000-0100-00000F000000}" name="Columna3" dataDxfId="4">
      <calculatedColumnFormula>'PLAN CAP'!#REF!</calculatedColumnFormula>
    </tableColumn>
    <tableColumn id="11" xr3:uid="{00000000-0010-0000-0100-00000B000000}" name="DURACION" dataDxfId="3">
      <calculatedColumnFormula>IF(G4=" "," ",(_xlfn.DAYS(PlanTrabajo[[#This Row],[FECHA DE FIN]],PlanTrabajo[[#This Row],[FECHA DE INICIO]])))</calculatedColumnFormula>
    </tableColumn>
    <tableColumn id="12" xr3:uid="{00000000-0010-0000-0100-00000C000000}" name="OBSERVACIONES Y SEGUIMIENTO "/>
    <tableColumn id="13" xr3:uid="{00000000-0010-0000-0100-00000D000000}" name="Columna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27"/>
  <sheetViews>
    <sheetView view="pageBreakPreview" zoomScale="85" zoomScaleNormal="55" zoomScaleSheetLayoutView="85" workbookViewId="0">
      <selection activeCell="U21" sqref="U21"/>
    </sheetView>
  </sheetViews>
  <sheetFormatPr baseColWidth="10" defaultColWidth="11.42578125" defaultRowHeight="15" x14ac:dyDescent="0.25"/>
  <cols>
    <col min="14" max="14" width="21.5703125" customWidth="1"/>
    <col min="15" max="26" width="7.7109375" customWidth="1"/>
    <col min="27" max="27" width="10.28515625" bestFit="1" customWidth="1"/>
    <col min="29" max="29" width="5.7109375" customWidth="1"/>
  </cols>
  <sheetData>
    <row r="1" spans="1:29" ht="57.75" customHeight="1" x14ac:dyDescent="0.25">
      <c r="A1" s="79" t="s">
        <v>0</v>
      </c>
      <c r="B1" s="79"/>
      <c r="C1" s="79" t="s">
        <v>1</v>
      </c>
      <c r="D1" s="79"/>
      <c r="E1" s="79"/>
      <c r="F1" s="79"/>
      <c r="G1" s="79"/>
      <c r="H1" s="79" t="s">
        <v>366</v>
      </c>
      <c r="I1" s="79"/>
      <c r="J1" s="79"/>
      <c r="K1" s="79"/>
      <c r="L1" s="79"/>
      <c r="M1" s="30"/>
      <c r="N1" s="30"/>
      <c r="O1" s="73" t="s">
        <v>365</v>
      </c>
      <c r="P1" s="73"/>
      <c r="Q1" s="73"/>
      <c r="R1" s="73"/>
      <c r="S1" s="73"/>
      <c r="T1" s="73"/>
      <c r="U1" s="73"/>
      <c r="V1" s="73"/>
      <c r="W1" s="73"/>
      <c r="X1" s="73"/>
      <c r="Y1" s="73"/>
      <c r="Z1" s="73"/>
      <c r="AA1" s="73"/>
      <c r="AB1" s="73"/>
      <c r="AC1" s="73"/>
    </row>
    <row r="2" spans="1:29" ht="91.5" customHeight="1" x14ac:dyDescent="0.25">
      <c r="A2" s="80">
        <v>2026</v>
      </c>
      <c r="B2" s="80"/>
      <c r="C2" s="80" t="s">
        <v>531</v>
      </c>
      <c r="D2" s="80"/>
      <c r="E2" s="80"/>
      <c r="F2" s="80"/>
      <c r="G2" s="80"/>
      <c r="H2" s="80" t="s">
        <v>532</v>
      </c>
      <c r="I2" s="80"/>
      <c r="J2" s="80"/>
      <c r="K2" s="80"/>
      <c r="L2" s="80"/>
      <c r="M2" s="30"/>
      <c r="N2" s="30"/>
      <c r="O2" s="74" t="s">
        <v>421</v>
      </c>
      <c r="P2" s="74"/>
      <c r="Q2" s="74"/>
      <c r="R2" s="74"/>
      <c r="S2" s="74"/>
      <c r="T2" s="74"/>
      <c r="U2" s="74"/>
      <c r="V2" s="74"/>
      <c r="W2" s="74"/>
      <c r="X2" s="74"/>
      <c r="Y2" s="74"/>
      <c r="Z2" s="74"/>
      <c r="AA2" s="74"/>
      <c r="AB2" s="74"/>
      <c r="AC2" s="74"/>
    </row>
    <row r="3" spans="1:29" ht="53.25" customHeight="1" x14ac:dyDescent="0.25">
      <c r="A3" s="81" t="s">
        <v>420</v>
      </c>
      <c r="B3" s="81"/>
      <c r="C3" s="81"/>
      <c r="D3" s="81"/>
      <c r="E3" s="81"/>
      <c r="F3" s="81"/>
      <c r="G3" s="81"/>
      <c r="H3" s="81"/>
      <c r="I3" s="81"/>
      <c r="J3" s="81"/>
      <c r="K3" s="81"/>
      <c r="L3" s="81"/>
      <c r="M3" s="28"/>
      <c r="N3" s="28"/>
      <c r="O3" s="81" t="s">
        <v>523</v>
      </c>
      <c r="P3" s="81"/>
      <c r="Q3" s="81"/>
      <c r="R3" s="81"/>
      <c r="S3" s="81"/>
      <c r="T3" s="81"/>
      <c r="U3" s="82">
        <v>46035</v>
      </c>
      <c r="V3" s="81"/>
      <c r="W3" s="81"/>
      <c r="X3" s="81"/>
      <c r="Y3" s="81"/>
      <c r="Z3" s="81"/>
      <c r="AA3" s="81"/>
      <c r="AB3" s="81"/>
      <c r="AC3" s="81"/>
    </row>
    <row r="4" spans="1:29" ht="18.75" customHeight="1" x14ac:dyDescent="0.25">
      <c r="A4" s="18"/>
      <c r="B4" s="18"/>
      <c r="C4" s="18"/>
      <c r="D4" s="19"/>
      <c r="E4" s="19"/>
      <c r="F4" s="19"/>
      <c r="G4" s="19"/>
      <c r="H4" s="19"/>
      <c r="I4" s="19"/>
      <c r="J4" s="19"/>
      <c r="K4" s="19"/>
      <c r="L4" s="19"/>
      <c r="M4" s="19"/>
      <c r="N4" s="20"/>
      <c r="O4" s="20"/>
      <c r="P4" s="20"/>
      <c r="Q4" s="20"/>
      <c r="R4" s="20"/>
      <c r="S4" s="20"/>
      <c r="T4" s="20"/>
      <c r="U4" s="20"/>
      <c r="V4" s="20"/>
      <c r="W4" s="20"/>
      <c r="X4" s="21"/>
      <c r="Y4" s="21"/>
      <c r="Z4" s="21"/>
      <c r="AC4" s="17"/>
    </row>
    <row r="5" spans="1:29" ht="18.75" customHeight="1" x14ac:dyDescent="0.25">
      <c r="A5" s="18"/>
      <c r="B5" s="18"/>
      <c r="C5" s="18"/>
      <c r="D5" s="19"/>
      <c r="E5" s="19"/>
      <c r="F5" s="19"/>
      <c r="G5" s="19"/>
      <c r="H5" s="19"/>
      <c r="I5" s="19"/>
      <c r="J5" s="19"/>
      <c r="K5" s="19"/>
      <c r="L5" s="19"/>
      <c r="M5" s="19"/>
      <c r="N5" s="20"/>
      <c r="O5" s="20"/>
      <c r="P5" s="20"/>
      <c r="Q5" s="20"/>
      <c r="R5" s="20"/>
      <c r="S5" s="20"/>
      <c r="T5" s="20"/>
      <c r="U5" s="20"/>
      <c r="V5" s="20"/>
      <c r="W5" s="20"/>
      <c r="X5" s="21"/>
      <c r="Y5" s="21"/>
      <c r="Z5" s="21"/>
      <c r="AC5" s="17"/>
    </row>
    <row r="6" spans="1:29" ht="24" customHeight="1" x14ac:dyDescent="0.25">
      <c r="A6" s="75" t="s">
        <v>360</v>
      </c>
      <c r="B6" s="75"/>
      <c r="C6" s="75"/>
      <c r="D6" s="75"/>
      <c r="E6" s="75"/>
      <c r="F6" s="75"/>
      <c r="G6" s="75"/>
      <c r="H6" s="75"/>
      <c r="I6" s="75"/>
      <c r="J6" s="75"/>
      <c r="K6" s="75"/>
      <c r="L6" s="76"/>
      <c r="M6" s="19"/>
      <c r="N6" s="22"/>
      <c r="O6" s="22"/>
      <c r="P6" s="22"/>
      <c r="Q6" s="22"/>
      <c r="R6" s="22"/>
      <c r="S6" s="22"/>
      <c r="T6" s="22"/>
      <c r="U6" s="22"/>
      <c r="V6" s="22"/>
      <c r="W6" s="22"/>
      <c r="X6" s="22"/>
      <c r="Y6" s="22"/>
      <c r="Z6" s="22"/>
      <c r="AA6" s="22"/>
      <c r="AC6" s="17"/>
    </row>
    <row r="7" spans="1:29" ht="44.25" customHeight="1" x14ac:dyDescent="0.25">
      <c r="A7" s="77"/>
      <c r="B7" s="77"/>
      <c r="C7" s="77"/>
      <c r="D7" s="77"/>
      <c r="E7" s="77"/>
      <c r="F7" s="77"/>
      <c r="G7" s="77"/>
      <c r="H7" s="77"/>
      <c r="I7" s="77"/>
      <c r="J7" s="77"/>
      <c r="K7" s="77"/>
      <c r="L7" s="78"/>
      <c r="M7" s="19"/>
      <c r="N7" s="24"/>
      <c r="O7" s="24"/>
      <c r="P7" s="24"/>
      <c r="Q7" s="24"/>
      <c r="R7" s="24"/>
      <c r="S7" s="24"/>
      <c r="T7" s="22"/>
      <c r="U7" s="22"/>
      <c r="V7" s="22"/>
      <c r="W7" s="22"/>
      <c r="X7" s="22"/>
      <c r="Y7" s="22"/>
      <c r="Z7" s="22"/>
      <c r="AA7" s="22"/>
      <c r="AC7" s="17"/>
    </row>
    <row r="8" spans="1:29" ht="18.75" customHeight="1" x14ac:dyDescent="0.25">
      <c r="A8" s="63" t="s">
        <v>361</v>
      </c>
      <c r="B8" s="64"/>
      <c r="C8" s="67"/>
      <c r="D8" s="68"/>
      <c r="E8" s="68"/>
      <c r="F8" s="68"/>
      <c r="G8" s="68"/>
      <c r="H8" s="68"/>
      <c r="I8" s="68"/>
      <c r="J8" s="68"/>
      <c r="K8" s="68"/>
      <c r="L8" s="69"/>
      <c r="M8" s="19"/>
      <c r="N8" s="24"/>
      <c r="O8" s="24"/>
      <c r="P8" s="24"/>
      <c r="Q8" s="24"/>
      <c r="R8" s="24"/>
      <c r="S8" s="24"/>
      <c r="T8" s="22"/>
      <c r="U8" s="22"/>
      <c r="V8" s="22"/>
      <c r="W8" s="22"/>
      <c r="X8" s="22"/>
      <c r="Y8" s="22"/>
      <c r="Z8" s="22"/>
      <c r="AA8" s="22"/>
      <c r="AC8" s="17"/>
    </row>
    <row r="9" spans="1:29" ht="18.75" customHeight="1" x14ac:dyDescent="0.25">
      <c r="A9" s="65"/>
      <c r="B9" s="66"/>
      <c r="C9" s="70"/>
      <c r="D9" s="71"/>
      <c r="E9" s="71"/>
      <c r="F9" s="71"/>
      <c r="G9" s="71"/>
      <c r="H9" s="71"/>
      <c r="I9" s="71"/>
      <c r="J9" s="71"/>
      <c r="K9" s="71"/>
      <c r="L9" s="72"/>
      <c r="M9" s="19"/>
      <c r="N9" s="24"/>
      <c r="O9" s="24"/>
      <c r="P9" s="24"/>
      <c r="Q9" s="24"/>
      <c r="R9" s="24"/>
      <c r="S9" s="24"/>
      <c r="T9" s="22"/>
      <c r="U9" s="22"/>
      <c r="V9" s="22"/>
      <c r="W9" s="22"/>
      <c r="X9" s="22"/>
      <c r="Y9" s="22"/>
      <c r="Z9" s="22"/>
      <c r="AA9" s="22"/>
      <c r="AC9" s="17"/>
    </row>
    <row r="10" spans="1:29" ht="18.75" customHeight="1" x14ac:dyDescent="0.25">
      <c r="A10" s="63" t="s">
        <v>362</v>
      </c>
      <c r="B10" s="64"/>
      <c r="C10" s="67"/>
      <c r="D10" s="68"/>
      <c r="E10" s="68"/>
      <c r="F10" s="68"/>
      <c r="G10" s="68"/>
      <c r="H10" s="68"/>
      <c r="I10" s="68"/>
      <c r="J10" s="68"/>
      <c r="K10" s="68"/>
      <c r="L10" s="69"/>
      <c r="M10" s="19"/>
      <c r="N10" s="24"/>
      <c r="O10" s="24"/>
      <c r="P10" s="24"/>
      <c r="Q10" s="24"/>
      <c r="R10" s="24"/>
      <c r="S10" s="24"/>
      <c r="T10" s="22"/>
      <c r="U10" s="22"/>
      <c r="V10" s="22"/>
      <c r="W10" s="22"/>
      <c r="X10" s="22"/>
      <c r="Y10" s="22"/>
      <c r="Z10" s="22"/>
      <c r="AA10" s="22"/>
      <c r="AC10" s="17"/>
    </row>
    <row r="11" spans="1:29" ht="18.75" customHeight="1" x14ac:dyDescent="0.25">
      <c r="A11" s="65"/>
      <c r="B11" s="66"/>
      <c r="C11" s="70"/>
      <c r="D11" s="71"/>
      <c r="E11" s="71"/>
      <c r="F11" s="71"/>
      <c r="G11" s="71"/>
      <c r="H11" s="71"/>
      <c r="I11" s="71"/>
      <c r="J11" s="71"/>
      <c r="K11" s="71"/>
      <c r="L11" s="72"/>
      <c r="M11" s="19"/>
      <c r="N11" s="24"/>
      <c r="O11" s="24"/>
      <c r="P11" s="24"/>
      <c r="Q11" s="24"/>
      <c r="R11" s="24"/>
      <c r="S11" s="24"/>
      <c r="T11" s="22"/>
      <c r="U11" s="22"/>
      <c r="V11" s="22"/>
      <c r="W11" s="22"/>
      <c r="X11" s="22"/>
      <c r="Y11" s="22"/>
      <c r="Z11" s="22"/>
      <c r="AA11" s="22"/>
      <c r="AC11" s="17"/>
    </row>
    <row r="12" spans="1:29" ht="18.75" customHeight="1" x14ac:dyDescent="0.25">
      <c r="A12" s="63" t="s">
        <v>363</v>
      </c>
      <c r="B12" s="64"/>
      <c r="C12" s="67"/>
      <c r="D12" s="68"/>
      <c r="E12" s="68"/>
      <c r="F12" s="68"/>
      <c r="G12" s="68"/>
      <c r="H12" s="68"/>
      <c r="I12" s="68"/>
      <c r="J12" s="68"/>
      <c r="K12" s="68"/>
      <c r="L12" s="69"/>
      <c r="M12" s="19"/>
      <c r="N12" s="24"/>
      <c r="O12" s="24"/>
      <c r="P12" s="24"/>
      <c r="Q12" s="24"/>
      <c r="R12" s="24"/>
      <c r="S12" s="24"/>
      <c r="T12" s="22"/>
      <c r="U12" s="22"/>
      <c r="V12" s="22"/>
      <c r="W12" s="22"/>
      <c r="X12" s="22"/>
      <c r="Y12" s="22"/>
      <c r="Z12" s="22"/>
      <c r="AA12" s="22"/>
      <c r="AC12" s="17"/>
    </row>
    <row r="13" spans="1:29" ht="18.75" customHeight="1" x14ac:dyDescent="0.25">
      <c r="A13" s="65"/>
      <c r="B13" s="66"/>
      <c r="C13" s="70"/>
      <c r="D13" s="71"/>
      <c r="E13" s="71"/>
      <c r="F13" s="71"/>
      <c r="G13" s="71"/>
      <c r="H13" s="71"/>
      <c r="I13" s="71"/>
      <c r="J13" s="71"/>
      <c r="K13" s="71"/>
      <c r="L13" s="72"/>
      <c r="M13" s="19"/>
      <c r="N13" s="24"/>
      <c r="O13" s="24"/>
      <c r="P13" s="24"/>
      <c r="Q13" s="24"/>
      <c r="R13" s="24"/>
      <c r="S13" s="24"/>
      <c r="T13" s="22"/>
      <c r="U13" s="22"/>
      <c r="V13" s="22"/>
      <c r="W13" s="22"/>
      <c r="X13" s="22"/>
      <c r="Y13" s="22"/>
      <c r="Z13" s="22"/>
      <c r="AA13" s="22"/>
      <c r="AC13" s="17"/>
    </row>
    <row r="14" spans="1:29" ht="18.75" customHeight="1" x14ac:dyDescent="0.25">
      <c r="A14" s="63" t="s">
        <v>364</v>
      </c>
      <c r="B14" s="64"/>
      <c r="C14" s="67"/>
      <c r="D14" s="68"/>
      <c r="E14" s="68"/>
      <c r="F14" s="68"/>
      <c r="G14" s="68"/>
      <c r="H14" s="68"/>
      <c r="I14" s="68"/>
      <c r="J14" s="68"/>
      <c r="K14" s="68"/>
      <c r="L14" s="69"/>
      <c r="M14" s="19"/>
      <c r="N14" s="20"/>
      <c r="O14" s="20"/>
      <c r="P14" s="20"/>
      <c r="Q14" s="20"/>
      <c r="R14" s="20"/>
      <c r="S14" s="20"/>
      <c r="T14" s="20"/>
      <c r="U14" s="20"/>
      <c r="V14" s="20"/>
      <c r="W14" s="20"/>
      <c r="X14" s="21"/>
      <c r="Y14" s="21"/>
      <c r="Z14" s="21"/>
      <c r="AC14" s="17"/>
    </row>
    <row r="15" spans="1:29" ht="18.75" customHeight="1" x14ac:dyDescent="0.25">
      <c r="A15" s="65"/>
      <c r="B15" s="66"/>
      <c r="C15" s="70"/>
      <c r="D15" s="71"/>
      <c r="E15" s="71"/>
      <c r="F15" s="71"/>
      <c r="G15" s="71"/>
      <c r="H15" s="71"/>
      <c r="I15" s="71"/>
      <c r="J15" s="71"/>
      <c r="K15" s="71"/>
      <c r="L15" s="72"/>
      <c r="M15" s="19"/>
      <c r="N15" s="20"/>
      <c r="O15" s="20"/>
      <c r="P15" s="20"/>
      <c r="Q15" s="20"/>
      <c r="R15" s="20"/>
      <c r="S15" s="20"/>
      <c r="T15" s="20"/>
      <c r="U15" s="20"/>
      <c r="V15" s="20"/>
      <c r="W15" s="20"/>
      <c r="X15" s="21"/>
      <c r="Y15" s="21"/>
      <c r="Z15" s="21"/>
      <c r="AC15" s="17"/>
    </row>
    <row r="16" spans="1:29" ht="18.75" customHeight="1" x14ac:dyDescent="0.25">
      <c r="A16" s="18"/>
      <c r="B16" s="18"/>
      <c r="C16" s="18"/>
      <c r="D16" s="18"/>
      <c r="E16" s="18"/>
      <c r="F16" s="18"/>
      <c r="G16" s="18"/>
      <c r="H16" s="18"/>
      <c r="I16" s="18"/>
      <c r="J16" s="18"/>
      <c r="K16" s="18"/>
      <c r="L16" s="18"/>
      <c r="M16" s="19"/>
      <c r="N16" s="20"/>
      <c r="O16" s="20"/>
      <c r="P16" s="20"/>
      <c r="Q16" s="20"/>
      <c r="R16" s="20"/>
      <c r="S16" s="20"/>
      <c r="T16" s="20"/>
      <c r="U16" s="20"/>
      <c r="V16" s="20"/>
      <c r="W16" s="20"/>
      <c r="X16" s="21"/>
      <c r="Y16" s="21"/>
      <c r="Z16" s="21"/>
      <c r="AC16" s="17"/>
    </row>
    <row r="17" spans="14:31" ht="17.25" customHeight="1" x14ac:dyDescent="0.25">
      <c r="AC17" s="17"/>
    </row>
    <row r="18" spans="14:31" ht="14.25" customHeight="1" x14ac:dyDescent="0.25"/>
    <row r="19" spans="14:31" x14ac:dyDescent="0.25">
      <c r="N19" s="3"/>
      <c r="O19" s="32" t="s">
        <v>2</v>
      </c>
      <c r="P19" s="32" t="s">
        <v>3</v>
      </c>
      <c r="Q19" s="32" t="s">
        <v>4</v>
      </c>
      <c r="R19" s="32" t="s">
        <v>5</v>
      </c>
      <c r="S19" s="32" t="s">
        <v>6</v>
      </c>
      <c r="T19" s="32" t="s">
        <v>7</v>
      </c>
      <c r="U19" s="32" t="s">
        <v>8</v>
      </c>
      <c r="V19" s="32" t="s">
        <v>9</v>
      </c>
      <c r="W19" s="32" t="s">
        <v>10</v>
      </c>
      <c r="X19" s="32" t="s">
        <v>11</v>
      </c>
      <c r="Y19" s="32" t="s">
        <v>12</v>
      </c>
      <c r="Z19" s="32" t="s">
        <v>13</v>
      </c>
      <c r="AA19" s="32" t="s">
        <v>14</v>
      </c>
      <c r="AB19" s="32" t="s">
        <v>15</v>
      </c>
    </row>
    <row r="20" spans="14:31" ht="15.75" x14ac:dyDescent="0.25">
      <c r="N20" s="31" t="s">
        <v>16</v>
      </c>
      <c r="O20" s="4">
        <f>COUNTIF('PLAN CAP'!N5:N53,"=1")</f>
        <v>1</v>
      </c>
      <c r="P20" s="4">
        <f>COUNTIF('PLAN CAP'!O5:O53,"=1")</f>
        <v>5</v>
      </c>
      <c r="Q20" s="4">
        <f>COUNTIF('PLAN CAP'!P5:P53,"=1")</f>
        <v>5</v>
      </c>
      <c r="R20" s="4">
        <f>COUNTIF('PLAN CAP'!Q5:Q53,"=1")</f>
        <v>5</v>
      </c>
      <c r="S20" s="4">
        <f>COUNTIF('PLAN CAP'!R5:R53,"=1")</f>
        <v>5</v>
      </c>
      <c r="T20" s="4">
        <f>COUNTIF('PLAN CAP'!S5:S53,"=1")</f>
        <v>5</v>
      </c>
      <c r="U20" s="4">
        <f>COUNTIF('PLAN CAP'!T5:T53,"=1")</f>
        <v>5</v>
      </c>
      <c r="V20" s="4">
        <f>COUNTIF('PLAN CAP'!U5:U53,"=1")</f>
        <v>5</v>
      </c>
      <c r="W20" s="4">
        <f>COUNTIF('PLAN CAP'!V5:V53,"=1")</f>
        <v>5</v>
      </c>
      <c r="X20" s="4">
        <f>COUNTIF('PLAN CAP'!W5:W53,"=1")</f>
        <v>4</v>
      </c>
      <c r="Y20" s="4">
        <f>COUNTIF('PLAN CAP'!X5:X53,"=1")</f>
        <v>3</v>
      </c>
      <c r="Z20" s="4">
        <f>COUNTIF('PLAN CAP'!Y5:Y53,"=1")</f>
        <v>1</v>
      </c>
      <c r="AA20" s="3">
        <f>SUM(O20:Z20)</f>
        <v>49</v>
      </c>
      <c r="AB20" s="3"/>
    </row>
    <row r="21" spans="14:31" ht="15.75" x14ac:dyDescent="0.25">
      <c r="N21" s="31" t="s">
        <v>17</v>
      </c>
      <c r="O21" s="4">
        <f>COUNTIF('PLAN CAP'!N5:N53,"=2")</f>
        <v>0</v>
      </c>
      <c r="P21" s="4">
        <f>COUNTIF('PLAN CAP'!O5:O53,"=2")</f>
        <v>0</v>
      </c>
      <c r="Q21" s="4">
        <f>COUNTIF('PLAN CAP'!P5:P53,"=2")</f>
        <v>0</v>
      </c>
      <c r="R21" s="4">
        <f>COUNTIF('PLAN CAP'!Q5:Q53,"=2")</f>
        <v>0</v>
      </c>
      <c r="S21" s="4">
        <f>COUNTIF('PLAN CAP'!R5:R53,"=2")</f>
        <v>0</v>
      </c>
      <c r="T21" s="4">
        <f>COUNTIF('PLAN CAP'!S5:S53,"=2")</f>
        <v>0</v>
      </c>
      <c r="U21" s="4">
        <f>COUNTIF('PLAN CAP'!T5:T53,"=2")</f>
        <v>0</v>
      </c>
      <c r="V21" s="4">
        <f>COUNTIF('PLAN CAP'!U5:U53,"=2")</f>
        <v>0</v>
      </c>
      <c r="W21" s="4">
        <f>COUNTIF('PLAN CAP'!V5:V53,"=2")</f>
        <v>0</v>
      </c>
      <c r="X21" s="4">
        <f>COUNTIF('PLAN CAP'!W5:W53,"=2")</f>
        <v>0</v>
      </c>
      <c r="Y21" s="4">
        <f>COUNTIF('PLAN CAP'!X5:X53,"=2")</f>
        <v>0</v>
      </c>
      <c r="Z21" s="4">
        <f>COUNTIF('PLAN CAP'!Y5:Y53,"=2")</f>
        <v>0</v>
      </c>
      <c r="AA21" s="3">
        <f>SUM(O21:Z21)</f>
        <v>0</v>
      </c>
      <c r="AB21" s="3"/>
    </row>
    <row r="22" spans="14:31" ht="15.75" x14ac:dyDescent="0.25">
      <c r="N22" s="31" t="s">
        <v>18</v>
      </c>
      <c r="O22" s="4">
        <f>COUNTIF('PLAN CAP'!N5:N53,"=0")</f>
        <v>0</v>
      </c>
      <c r="P22" s="4">
        <f>COUNTIF('PLAN CAP'!O5:O53,"=0")</f>
        <v>0</v>
      </c>
      <c r="Q22" s="4">
        <f>COUNTIF('PLAN CAP'!P5:P53,"=0")</f>
        <v>0</v>
      </c>
      <c r="R22" s="4">
        <f>COUNTIF('PLAN CAP'!Q5:Q53,"=0")</f>
        <v>0</v>
      </c>
      <c r="S22" s="4">
        <f>COUNTIF('PLAN CAP'!R5:R53,"=0")</f>
        <v>0</v>
      </c>
      <c r="T22" s="4">
        <f>COUNTIF('PLAN CAP'!S5:S53,"=0")</f>
        <v>0</v>
      </c>
      <c r="U22" s="4">
        <f>COUNTIF('PLAN CAP'!T5:T53,"=0")</f>
        <v>0</v>
      </c>
      <c r="V22" s="4">
        <f>COUNTIF('PLAN CAP'!U5:U53,"=0")</f>
        <v>0</v>
      </c>
      <c r="W22" s="4">
        <f>COUNTIF('PLAN CAP'!V5:V53,"=0")</f>
        <v>0</v>
      </c>
      <c r="X22" s="4">
        <f>COUNTIF('PLAN CAP'!W5:W53,"=0")</f>
        <v>0</v>
      </c>
      <c r="Y22" s="4">
        <f>COUNTIF('PLAN CAP'!X5:X53,"=0")</f>
        <v>0</v>
      </c>
      <c r="Z22" s="4">
        <f>COUNTIF('PLAN CAP'!Y5:Y53,"=0")</f>
        <v>0</v>
      </c>
      <c r="AA22" s="4">
        <f>COUNTIF('PLAN CAP'!Z5:Z53,"=0")</f>
        <v>49</v>
      </c>
      <c r="AB22" s="3"/>
    </row>
    <row r="23" spans="14:31" x14ac:dyDescent="0.25">
      <c r="N23" s="3"/>
      <c r="O23" s="3"/>
      <c r="P23" s="3"/>
      <c r="Q23" s="3"/>
      <c r="R23" s="3"/>
      <c r="S23" s="3"/>
      <c r="T23" s="3"/>
      <c r="U23" s="3"/>
      <c r="V23" s="3"/>
      <c r="W23" s="3"/>
      <c r="X23" s="3"/>
      <c r="Y23" s="3"/>
      <c r="Z23" s="3"/>
      <c r="AA23" s="3"/>
      <c r="AB23" s="25">
        <v>1</v>
      </c>
    </row>
    <row r="24" spans="14:31" x14ac:dyDescent="0.25">
      <c r="N24" s="33" t="s">
        <v>19</v>
      </c>
      <c r="O24" s="16">
        <f>IF((O20+O21+O22)=0,"100%",(O21/(O20+O21+O22)))</f>
        <v>0</v>
      </c>
      <c r="P24" s="16">
        <f t="shared" ref="P24:AA24" si="0">IF((P20+P21+P22)=0,"100%",(P21/(P20+P21+P22)))</f>
        <v>0</v>
      </c>
      <c r="Q24" s="16">
        <f t="shared" si="0"/>
        <v>0</v>
      </c>
      <c r="R24" s="16">
        <f t="shared" si="0"/>
        <v>0</v>
      </c>
      <c r="S24" s="16">
        <f t="shared" si="0"/>
        <v>0</v>
      </c>
      <c r="T24" s="16">
        <f t="shared" si="0"/>
        <v>0</v>
      </c>
      <c r="U24" s="16">
        <f t="shared" si="0"/>
        <v>0</v>
      </c>
      <c r="V24" s="16">
        <f t="shared" si="0"/>
        <v>0</v>
      </c>
      <c r="W24" s="16">
        <f t="shared" si="0"/>
        <v>0</v>
      </c>
      <c r="X24" s="16">
        <f t="shared" si="0"/>
        <v>0</v>
      </c>
      <c r="Y24" s="16">
        <f t="shared" si="0"/>
        <v>0</v>
      </c>
      <c r="Z24" s="16">
        <f t="shared" si="0"/>
        <v>0</v>
      </c>
      <c r="AA24" s="16">
        <f t="shared" si="0"/>
        <v>0</v>
      </c>
      <c r="AB24" s="25">
        <f>AB23-AA24</f>
        <v>1</v>
      </c>
      <c r="AE24" s="15"/>
    </row>
    <row r="25" spans="14:31" x14ac:dyDescent="0.25">
      <c r="AE25" s="15"/>
    </row>
    <row r="26" spans="14:31" x14ac:dyDescent="0.25">
      <c r="AE26" s="23"/>
    </row>
    <row r="27" spans="14:31" x14ac:dyDescent="0.25">
      <c r="AE27" s="15"/>
    </row>
  </sheetData>
  <mergeCells count="20">
    <mergeCell ref="O1:AC1"/>
    <mergeCell ref="O2:AC2"/>
    <mergeCell ref="A8:B9"/>
    <mergeCell ref="C8:L9"/>
    <mergeCell ref="A6:L7"/>
    <mergeCell ref="A1:B1"/>
    <mergeCell ref="C1:G1"/>
    <mergeCell ref="H1:L1"/>
    <mergeCell ref="A2:B2"/>
    <mergeCell ref="C2:G2"/>
    <mergeCell ref="H2:L2"/>
    <mergeCell ref="A3:L3"/>
    <mergeCell ref="O3:T3"/>
    <mergeCell ref="U3:AC3"/>
    <mergeCell ref="A10:B11"/>
    <mergeCell ref="A12:B13"/>
    <mergeCell ref="A14:B15"/>
    <mergeCell ref="C10:L11"/>
    <mergeCell ref="C12:L13"/>
    <mergeCell ref="C14:L15"/>
  </mergeCells>
  <phoneticPr fontId="10" type="noConversion"/>
  <pageMargins left="0.7" right="0.7" top="0.75" bottom="0.75" header="0.3" footer="0.3"/>
  <pageSetup paperSize="9" scale="45" fitToHeight="0" orientation="landscape" horizontalDpi="1200" verticalDpi="1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F381-F90E-4397-913E-8C046A012937}">
  <dimension ref="B1:P6"/>
  <sheetViews>
    <sheetView workbookViewId="0">
      <selection activeCell="D13" sqref="D13"/>
    </sheetView>
  </sheetViews>
  <sheetFormatPr baseColWidth="10" defaultRowHeight="15" x14ac:dyDescent="0.25"/>
  <sheetData>
    <row r="1" spans="2:16" x14ac:dyDescent="0.25">
      <c r="C1" t="s">
        <v>2</v>
      </c>
      <c r="D1" t="s">
        <v>3</v>
      </c>
      <c r="E1" t="s">
        <v>4</v>
      </c>
      <c r="F1" t="s">
        <v>5</v>
      </c>
      <c r="G1" t="s">
        <v>6</v>
      </c>
      <c r="H1" t="s">
        <v>7</v>
      </c>
      <c r="I1" t="s">
        <v>8</v>
      </c>
      <c r="J1" t="s">
        <v>9</v>
      </c>
      <c r="K1" t="s">
        <v>10</v>
      </c>
      <c r="L1" t="s">
        <v>11</v>
      </c>
      <c r="M1" t="s">
        <v>12</v>
      </c>
      <c r="N1" t="s">
        <v>13</v>
      </c>
      <c r="O1" t="s">
        <v>14</v>
      </c>
      <c r="P1" t="s">
        <v>15</v>
      </c>
    </row>
    <row r="2" spans="2:16" x14ac:dyDescent="0.25">
      <c r="B2" t="s">
        <v>16</v>
      </c>
      <c r="C2">
        <v>1</v>
      </c>
      <c r="D2">
        <v>5</v>
      </c>
      <c r="E2">
        <v>5</v>
      </c>
      <c r="F2">
        <v>5</v>
      </c>
      <c r="G2">
        <v>5</v>
      </c>
      <c r="H2">
        <v>5</v>
      </c>
      <c r="I2">
        <v>5</v>
      </c>
      <c r="J2">
        <v>5</v>
      </c>
      <c r="K2">
        <v>5</v>
      </c>
      <c r="L2">
        <v>5</v>
      </c>
      <c r="M2">
        <v>4</v>
      </c>
      <c r="N2">
        <v>1</v>
      </c>
      <c r="O2">
        <v>51</v>
      </c>
    </row>
    <row r="3" spans="2:16" x14ac:dyDescent="0.25">
      <c r="B3" t="s">
        <v>17</v>
      </c>
      <c r="C3">
        <v>0</v>
      </c>
      <c r="D3">
        <v>0</v>
      </c>
      <c r="E3">
        <v>0</v>
      </c>
      <c r="F3">
        <v>0</v>
      </c>
      <c r="G3">
        <v>0</v>
      </c>
      <c r="H3">
        <v>0</v>
      </c>
      <c r="I3">
        <v>0</v>
      </c>
      <c r="J3">
        <v>0</v>
      </c>
      <c r="K3">
        <v>0</v>
      </c>
      <c r="L3">
        <v>0</v>
      </c>
      <c r="M3">
        <v>0</v>
      </c>
      <c r="N3">
        <v>0</v>
      </c>
      <c r="O3">
        <v>0</v>
      </c>
    </row>
    <row r="4" spans="2:16" x14ac:dyDescent="0.25">
      <c r="B4" t="s">
        <v>18</v>
      </c>
      <c r="C4">
        <v>0</v>
      </c>
      <c r="D4">
        <v>0</v>
      </c>
      <c r="E4">
        <v>0</v>
      </c>
      <c r="F4">
        <v>0</v>
      </c>
      <c r="G4">
        <v>0</v>
      </c>
      <c r="H4">
        <v>0</v>
      </c>
      <c r="I4">
        <v>0</v>
      </c>
      <c r="J4">
        <v>0</v>
      </c>
      <c r="K4">
        <v>0</v>
      </c>
      <c r="L4">
        <v>0</v>
      </c>
      <c r="M4">
        <v>0</v>
      </c>
      <c r="N4">
        <v>0</v>
      </c>
      <c r="O4">
        <v>51</v>
      </c>
    </row>
    <row r="5" spans="2:16" x14ac:dyDescent="0.25">
      <c r="P5">
        <v>1</v>
      </c>
    </row>
    <row r="6" spans="2:16" x14ac:dyDescent="0.25">
      <c r="B6" t="s">
        <v>19</v>
      </c>
      <c r="C6">
        <v>0</v>
      </c>
      <c r="D6">
        <v>0</v>
      </c>
      <c r="E6">
        <v>0</v>
      </c>
      <c r="F6">
        <v>0</v>
      </c>
      <c r="G6">
        <v>0</v>
      </c>
      <c r="H6">
        <v>0</v>
      </c>
      <c r="I6">
        <v>0</v>
      </c>
      <c r="J6">
        <v>0</v>
      </c>
      <c r="K6">
        <v>0</v>
      </c>
      <c r="L6">
        <v>0</v>
      </c>
      <c r="M6">
        <v>0</v>
      </c>
      <c r="N6">
        <v>0</v>
      </c>
      <c r="O6">
        <v>0</v>
      </c>
      <c r="P6">
        <v>1</v>
      </c>
    </row>
  </sheetData>
  <sheetProtection algorithmName="SHA-512" hashValue="bGiPZG0UYIRFstSQ8Nu/BqZELgPKnhijM5mCxsiGpjD82/+0HufeO/brvtVMPXPA3PNQ8Ij3QE87nef+GwXcYw==" saltValue="HFVe47xp3JBktO/wxd922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AA127"/>
  <sheetViews>
    <sheetView tabSelected="1" view="pageBreakPreview" zoomScale="70" zoomScaleNormal="70" zoomScaleSheetLayoutView="70" workbookViewId="0">
      <pane ySplit="4" topLeftCell="A5" activePane="bottomLeft" state="frozen"/>
      <selection pane="bottomLeft" activeCell="D7" sqref="D7"/>
    </sheetView>
  </sheetViews>
  <sheetFormatPr baseColWidth="10" defaultColWidth="11.42578125" defaultRowHeight="15" x14ac:dyDescent="0.25"/>
  <cols>
    <col min="1" max="1" width="45.28515625" style="39" customWidth="1"/>
    <col min="2" max="2" width="38.42578125" style="39" customWidth="1"/>
    <col min="3" max="3" width="55.42578125" style="39" customWidth="1"/>
    <col min="4" max="4" width="31.85546875" style="39" customWidth="1"/>
    <col min="5" max="5" width="84.140625" style="39" customWidth="1"/>
    <col min="6" max="6" width="58.5703125" style="39" hidden="1" customWidth="1"/>
    <col min="7" max="7" width="22" style="39" customWidth="1"/>
    <col min="8" max="8" width="37.28515625" style="49" customWidth="1"/>
    <col min="9" max="9" width="37.85546875" style="39" customWidth="1"/>
    <col min="10" max="10" width="30.5703125" style="39" customWidth="1"/>
    <col min="11" max="11" width="37.28515625" style="39" customWidth="1"/>
    <col min="12" max="12" width="56" style="39" customWidth="1"/>
    <col min="13" max="13" width="31.42578125" style="39" customWidth="1"/>
    <col min="14" max="14" width="9.5703125" style="39" customWidth="1"/>
    <col min="15" max="15" width="10.140625" style="39" customWidth="1"/>
    <col min="16" max="16" width="10" style="39" customWidth="1"/>
    <col min="17" max="17" width="10.140625" style="39" customWidth="1"/>
    <col min="18" max="18" width="9.5703125" style="39" customWidth="1"/>
    <col min="19" max="19" width="9.28515625" style="39" customWidth="1"/>
    <col min="20" max="20" width="10.28515625" style="39" customWidth="1"/>
    <col min="21" max="21" width="9.7109375" style="39" customWidth="1"/>
    <col min="22" max="22" width="10" style="39" customWidth="1"/>
    <col min="23" max="23" width="10.140625" style="39" customWidth="1"/>
    <col min="24" max="24" width="8.85546875" style="39" customWidth="1"/>
    <col min="25" max="25" width="10" style="49" customWidth="1"/>
    <col min="26" max="26" width="29.7109375" style="49" customWidth="1"/>
    <col min="27" max="27" width="36.85546875" style="39" customWidth="1"/>
    <col min="28" max="16384" width="11.42578125" style="36"/>
  </cols>
  <sheetData>
    <row r="1" spans="1:27" ht="51.75" customHeight="1" x14ac:dyDescent="0.25">
      <c r="A1" s="83"/>
      <c r="B1" s="83"/>
      <c r="C1" s="84" t="s">
        <v>520</v>
      </c>
      <c r="D1" s="85"/>
      <c r="E1" s="85"/>
      <c r="F1" s="85"/>
      <c r="G1" s="85"/>
      <c r="H1" s="85"/>
      <c r="I1" s="85"/>
      <c r="J1" s="85"/>
      <c r="K1" s="85"/>
      <c r="L1" s="85"/>
      <c r="M1" s="85"/>
      <c r="N1" s="85"/>
      <c r="O1" s="85"/>
      <c r="P1" s="85"/>
      <c r="Q1" s="85"/>
      <c r="R1" s="85"/>
      <c r="S1" s="85"/>
      <c r="T1" s="85"/>
      <c r="U1" s="85"/>
      <c r="V1" s="85"/>
      <c r="W1" s="85"/>
      <c r="X1" s="85"/>
      <c r="Y1" s="85"/>
      <c r="Z1" s="85"/>
      <c r="AA1" s="34" t="s">
        <v>20</v>
      </c>
    </row>
    <row r="2" spans="1:27" ht="51.75" customHeight="1" x14ac:dyDescent="0.25">
      <c r="A2" s="83"/>
      <c r="B2" s="83"/>
      <c r="C2" s="85"/>
      <c r="D2" s="85"/>
      <c r="E2" s="85"/>
      <c r="F2" s="85"/>
      <c r="G2" s="85"/>
      <c r="H2" s="85"/>
      <c r="I2" s="85"/>
      <c r="J2" s="85"/>
      <c r="K2" s="85"/>
      <c r="L2" s="85"/>
      <c r="M2" s="85"/>
      <c r="N2" s="85"/>
      <c r="O2" s="85"/>
      <c r="P2" s="85"/>
      <c r="Q2" s="85"/>
      <c r="R2" s="85"/>
      <c r="S2" s="85"/>
      <c r="T2" s="85"/>
      <c r="U2" s="85"/>
      <c r="V2" s="85"/>
      <c r="W2" s="85"/>
      <c r="X2" s="85"/>
      <c r="Y2" s="85"/>
      <c r="Z2" s="85"/>
      <c r="AA2" s="34" t="s">
        <v>522</v>
      </c>
    </row>
    <row r="3" spans="1:27" ht="51.75" customHeight="1" x14ac:dyDescent="0.25">
      <c r="A3" s="83"/>
      <c r="B3" s="83"/>
      <c r="C3" s="85"/>
      <c r="D3" s="85"/>
      <c r="E3" s="85"/>
      <c r="F3" s="85"/>
      <c r="G3" s="85"/>
      <c r="H3" s="85"/>
      <c r="I3" s="85"/>
      <c r="J3" s="85"/>
      <c r="K3" s="85"/>
      <c r="L3" s="85"/>
      <c r="M3" s="85"/>
      <c r="N3" s="85"/>
      <c r="O3" s="85"/>
      <c r="P3" s="85"/>
      <c r="Q3" s="85"/>
      <c r="R3" s="85"/>
      <c r="S3" s="85"/>
      <c r="T3" s="85"/>
      <c r="U3" s="85"/>
      <c r="V3" s="85"/>
      <c r="W3" s="85"/>
      <c r="X3" s="85"/>
      <c r="Y3" s="85"/>
      <c r="Z3" s="85"/>
      <c r="AA3" s="34" t="s">
        <v>521</v>
      </c>
    </row>
    <row r="4" spans="1:27" s="39" customFormat="1" ht="85.5" customHeight="1" x14ac:dyDescent="0.25">
      <c r="A4" s="37" t="s">
        <v>21</v>
      </c>
      <c r="B4" s="37" t="s">
        <v>22</v>
      </c>
      <c r="C4" s="37" t="s">
        <v>367</v>
      </c>
      <c r="D4" s="37" t="s">
        <v>328</v>
      </c>
      <c r="E4" s="37" t="s">
        <v>319</v>
      </c>
      <c r="F4" s="37" t="s">
        <v>481</v>
      </c>
      <c r="G4" s="37" t="s">
        <v>355</v>
      </c>
      <c r="H4" s="37" t="s">
        <v>23</v>
      </c>
      <c r="I4" s="37" t="s">
        <v>24</v>
      </c>
      <c r="J4" s="37" t="s">
        <v>356</v>
      </c>
      <c r="K4" s="37" t="s">
        <v>25</v>
      </c>
      <c r="L4" s="37" t="s">
        <v>26</v>
      </c>
      <c r="M4" s="37" t="s">
        <v>27</v>
      </c>
      <c r="N4" s="38" t="s">
        <v>2</v>
      </c>
      <c r="O4" s="38" t="s">
        <v>3</v>
      </c>
      <c r="P4" s="38" t="s">
        <v>4</v>
      </c>
      <c r="Q4" s="38" t="s">
        <v>5</v>
      </c>
      <c r="R4" s="38" t="s">
        <v>6</v>
      </c>
      <c r="S4" s="38" t="s">
        <v>7</v>
      </c>
      <c r="T4" s="38" t="s">
        <v>8</v>
      </c>
      <c r="U4" s="38" t="s">
        <v>9</v>
      </c>
      <c r="V4" s="38" t="s">
        <v>10</v>
      </c>
      <c r="W4" s="38" t="s">
        <v>11</v>
      </c>
      <c r="X4" s="38" t="s">
        <v>12</v>
      </c>
      <c r="Y4" s="38" t="s">
        <v>13</v>
      </c>
      <c r="Z4" s="38" t="s">
        <v>28</v>
      </c>
      <c r="AA4" s="37" t="s">
        <v>29</v>
      </c>
    </row>
    <row r="5" spans="1:27" s="46" customFormat="1" ht="76.5" customHeight="1" x14ac:dyDescent="0.25">
      <c r="A5" s="40" t="s">
        <v>352</v>
      </c>
      <c r="B5" s="41" t="s">
        <v>343</v>
      </c>
      <c r="C5" s="61" t="s">
        <v>368</v>
      </c>
      <c r="D5" s="42" t="s">
        <v>409</v>
      </c>
      <c r="E5" s="42" t="s">
        <v>329</v>
      </c>
      <c r="F5" s="42" t="s">
        <v>519</v>
      </c>
      <c r="G5" s="42">
        <v>4</v>
      </c>
      <c r="H5" s="43" t="s">
        <v>30</v>
      </c>
      <c r="I5" s="43" t="s">
        <v>31</v>
      </c>
      <c r="J5" s="43" t="s">
        <v>32</v>
      </c>
      <c r="K5" s="43" t="s">
        <v>357</v>
      </c>
      <c r="L5" s="43" t="s">
        <v>421</v>
      </c>
      <c r="M5" s="43" t="s">
        <v>349</v>
      </c>
      <c r="N5" s="43">
        <v>1</v>
      </c>
      <c r="O5" s="43"/>
      <c r="P5" s="43"/>
      <c r="Q5" s="43"/>
      <c r="R5" s="44"/>
      <c r="S5" s="43"/>
      <c r="T5" s="43"/>
      <c r="U5" s="43"/>
      <c r="V5" s="43"/>
      <c r="W5" s="43"/>
      <c r="X5" s="45"/>
      <c r="Y5" s="45"/>
      <c r="Z5" s="44">
        <f>IF(COUNTA(PlanTrabajo4[[#This Row],[ENE]:[DIC]])=0," ",(COUNTIF(PlanTrabajo4[[#This Row],[ENE]:[DIC]],"=2"))/(COUNTA(PlanTrabajo4[[#This Row],[ENE]:[DIC]])))</f>
        <v>0</v>
      </c>
      <c r="AA5" s="43" t="s">
        <v>359</v>
      </c>
    </row>
    <row r="6" spans="1:27" s="46" customFormat="1" ht="120" x14ac:dyDescent="0.25">
      <c r="A6" s="40" t="s">
        <v>48</v>
      </c>
      <c r="B6" s="41" t="s">
        <v>36</v>
      </c>
      <c r="C6" s="55" t="s">
        <v>375</v>
      </c>
      <c r="D6" s="42" t="s">
        <v>412</v>
      </c>
      <c r="E6" s="47" t="s">
        <v>422</v>
      </c>
      <c r="F6" s="43" t="s">
        <v>423</v>
      </c>
      <c r="G6" s="47">
        <v>2</v>
      </c>
      <c r="H6" s="35" t="s">
        <v>379</v>
      </c>
      <c r="I6" s="35" t="s">
        <v>380</v>
      </c>
      <c r="J6" s="43" t="s">
        <v>382</v>
      </c>
      <c r="K6" s="47" t="s">
        <v>381</v>
      </c>
      <c r="L6" s="43" t="s">
        <v>421</v>
      </c>
      <c r="M6" s="43" t="s">
        <v>349</v>
      </c>
      <c r="N6" s="43"/>
      <c r="O6" s="43">
        <v>1</v>
      </c>
      <c r="P6" s="43"/>
      <c r="Q6" s="43"/>
      <c r="R6" s="44"/>
      <c r="S6" s="43"/>
      <c r="T6" s="43"/>
      <c r="U6" s="43"/>
      <c r="V6" s="43"/>
      <c r="W6" s="43"/>
      <c r="X6" s="45"/>
      <c r="Y6" s="45"/>
      <c r="Z6" s="44">
        <f>IF(COUNTA(PlanTrabajo4[[#This Row],[ENE]:[DIC]])=0," ",(COUNTIF(PlanTrabajo4[[#This Row],[ENE]:[DIC]],"=2"))/(COUNTA(PlanTrabajo4[[#This Row],[ENE]:[DIC]])))</f>
        <v>0</v>
      </c>
      <c r="AA6" s="40" t="s">
        <v>399</v>
      </c>
    </row>
    <row r="7" spans="1:27" s="46" customFormat="1" ht="180.75" customHeight="1" x14ac:dyDescent="0.25">
      <c r="A7" s="40" t="s">
        <v>48</v>
      </c>
      <c r="B7" s="41" t="s">
        <v>384</v>
      </c>
      <c r="C7" s="55" t="s">
        <v>475</v>
      </c>
      <c r="D7" s="42" t="s">
        <v>415</v>
      </c>
      <c r="E7" s="47" t="s">
        <v>474</v>
      </c>
      <c r="F7" s="43" t="s">
        <v>476</v>
      </c>
      <c r="G7" s="47">
        <v>2</v>
      </c>
      <c r="H7" s="43" t="s">
        <v>30</v>
      </c>
      <c r="I7" s="35" t="s">
        <v>380</v>
      </c>
      <c r="J7" s="43" t="s">
        <v>382</v>
      </c>
      <c r="K7" s="47" t="s">
        <v>381</v>
      </c>
      <c r="L7" s="43" t="s">
        <v>421</v>
      </c>
      <c r="M7" s="43" t="s">
        <v>349</v>
      </c>
      <c r="N7" s="43"/>
      <c r="O7" s="43">
        <v>1</v>
      </c>
      <c r="P7" s="43"/>
      <c r="Q7" s="43"/>
      <c r="R7" s="44"/>
      <c r="S7" s="43"/>
      <c r="T7" s="43"/>
      <c r="U7" s="43"/>
      <c r="V7" s="43"/>
      <c r="W7" s="43"/>
      <c r="X7" s="45"/>
      <c r="Y7" s="45"/>
      <c r="Z7" s="44">
        <f>IF(COUNTA(PlanTrabajo4[[#This Row],[ENE]:[DIC]])=0," ",(COUNTIF(PlanTrabajo4[[#This Row],[ENE]:[DIC]],"=2"))/(COUNTA(PlanTrabajo4[[#This Row],[ENE]:[DIC]])))</f>
        <v>0</v>
      </c>
      <c r="AA7" s="40" t="s">
        <v>399</v>
      </c>
    </row>
    <row r="8" spans="1:27" s="46" customFormat="1" ht="189" customHeight="1" x14ac:dyDescent="0.25">
      <c r="A8" s="40" t="s">
        <v>48</v>
      </c>
      <c r="B8" s="41" t="s">
        <v>43</v>
      </c>
      <c r="C8" s="55" t="s">
        <v>376</v>
      </c>
      <c r="D8" s="42" t="s">
        <v>43</v>
      </c>
      <c r="E8" s="47" t="s">
        <v>499</v>
      </c>
      <c r="F8" s="43" t="s">
        <v>498</v>
      </c>
      <c r="G8" s="47">
        <v>2</v>
      </c>
      <c r="H8" s="35" t="s">
        <v>379</v>
      </c>
      <c r="I8" s="35" t="s">
        <v>380</v>
      </c>
      <c r="J8" s="43" t="s">
        <v>382</v>
      </c>
      <c r="K8" s="47" t="s">
        <v>381</v>
      </c>
      <c r="L8" s="43" t="s">
        <v>421</v>
      </c>
      <c r="M8" s="43" t="s">
        <v>349</v>
      </c>
      <c r="N8" s="43"/>
      <c r="O8" s="43">
        <v>1</v>
      </c>
      <c r="P8" s="43"/>
      <c r="Q8" s="43"/>
      <c r="R8" s="44"/>
      <c r="S8" s="43"/>
      <c r="T8" s="43"/>
      <c r="U8" s="43"/>
      <c r="V8" s="43"/>
      <c r="W8" s="43"/>
      <c r="X8" s="45"/>
      <c r="Y8" s="45"/>
      <c r="Z8" s="44">
        <f>IF(COUNTA(PlanTrabajo4[[#This Row],[ENE]:[DIC]])=0," ",(COUNTIF(PlanTrabajo4[[#This Row],[ENE]:[DIC]],"=2"))/(COUNTA(PlanTrabajo4[[#This Row],[ENE]:[DIC]])))</f>
        <v>0</v>
      </c>
      <c r="AA8" s="40" t="s">
        <v>399</v>
      </c>
    </row>
    <row r="9" spans="1:27" s="46" customFormat="1" ht="155.25" customHeight="1" x14ac:dyDescent="0.25">
      <c r="A9" s="40" t="s">
        <v>48</v>
      </c>
      <c r="B9" s="41" t="s">
        <v>55</v>
      </c>
      <c r="C9" s="55" t="s">
        <v>378</v>
      </c>
      <c r="D9" s="42" t="s">
        <v>409</v>
      </c>
      <c r="E9" s="47" t="s">
        <v>500</v>
      </c>
      <c r="F9" s="43" t="s">
        <v>483</v>
      </c>
      <c r="G9" s="47">
        <v>2</v>
      </c>
      <c r="H9" s="35" t="s">
        <v>400</v>
      </c>
      <c r="I9" s="35" t="s">
        <v>380</v>
      </c>
      <c r="J9" s="43" t="s">
        <v>382</v>
      </c>
      <c r="K9" s="47" t="s">
        <v>381</v>
      </c>
      <c r="L9" s="43" t="s">
        <v>421</v>
      </c>
      <c r="M9" s="43" t="s">
        <v>349</v>
      </c>
      <c r="N9" s="43"/>
      <c r="O9" s="43">
        <v>1</v>
      </c>
      <c r="P9" s="43"/>
      <c r="Q9" s="43"/>
      <c r="R9" s="44"/>
      <c r="S9" s="43"/>
      <c r="T9" s="43"/>
      <c r="U9" s="43"/>
      <c r="V9" s="43"/>
      <c r="W9" s="43"/>
      <c r="X9" s="45"/>
      <c r="Y9" s="45"/>
      <c r="Z9" s="44">
        <f>IF(COUNTA(PlanTrabajo4[[#This Row],[ENE]:[DIC]])=0," ",(COUNTIF(PlanTrabajo4[[#This Row],[ENE]:[DIC]],"=2"))/(COUNTA(PlanTrabajo4[[#This Row],[ENE]:[DIC]])))</f>
        <v>0</v>
      </c>
      <c r="AA9" s="40" t="s">
        <v>399</v>
      </c>
    </row>
    <row r="10" spans="1:27" s="46" customFormat="1" ht="172.5" customHeight="1" x14ac:dyDescent="0.25">
      <c r="A10" s="40" t="s">
        <v>48</v>
      </c>
      <c r="B10" s="41" t="s">
        <v>55</v>
      </c>
      <c r="C10" s="55" t="s">
        <v>395</v>
      </c>
      <c r="D10" s="42" t="s">
        <v>416</v>
      </c>
      <c r="E10" s="47" t="s">
        <v>501</v>
      </c>
      <c r="F10" s="43" t="s">
        <v>484</v>
      </c>
      <c r="G10" s="47">
        <v>2</v>
      </c>
      <c r="H10" s="35" t="s">
        <v>379</v>
      </c>
      <c r="I10" s="35" t="s">
        <v>380</v>
      </c>
      <c r="J10" s="43" t="s">
        <v>382</v>
      </c>
      <c r="K10" s="47" t="s">
        <v>381</v>
      </c>
      <c r="L10" s="43" t="s">
        <v>421</v>
      </c>
      <c r="M10" s="43" t="s">
        <v>349</v>
      </c>
      <c r="N10" s="43"/>
      <c r="O10" s="43">
        <v>1</v>
      </c>
      <c r="P10" s="43"/>
      <c r="Q10" s="43"/>
      <c r="R10" s="44"/>
      <c r="S10" s="43"/>
      <c r="T10" s="43"/>
      <c r="U10" s="43"/>
      <c r="V10" s="43"/>
      <c r="W10" s="43"/>
      <c r="X10" s="45"/>
      <c r="Y10" s="45"/>
      <c r="Z10" s="44">
        <f>IF(COUNTA(PlanTrabajo4[[#This Row],[ENE]:[DIC]])=0," ",(COUNTIF(PlanTrabajo4[[#This Row],[ENE]:[DIC]],"=2"))/(COUNTA(PlanTrabajo4[[#This Row],[ENE]:[DIC]])))</f>
        <v>0</v>
      </c>
      <c r="AA10" s="40" t="s">
        <v>399</v>
      </c>
    </row>
    <row r="11" spans="1:27" s="46" customFormat="1" ht="246.75" customHeight="1" x14ac:dyDescent="0.25">
      <c r="A11" s="40" t="s">
        <v>352</v>
      </c>
      <c r="B11" s="41" t="s">
        <v>369</v>
      </c>
      <c r="C11" s="55" t="s">
        <v>370</v>
      </c>
      <c r="D11" s="42" t="s">
        <v>412</v>
      </c>
      <c r="E11" s="47" t="s">
        <v>503</v>
      </c>
      <c r="F11" s="43" t="s">
        <v>485</v>
      </c>
      <c r="G11" s="47">
        <v>2</v>
      </c>
      <c r="H11" s="35" t="s">
        <v>379</v>
      </c>
      <c r="I11" s="35" t="s">
        <v>380</v>
      </c>
      <c r="J11" s="43" t="s">
        <v>382</v>
      </c>
      <c r="K11" s="47" t="s">
        <v>381</v>
      </c>
      <c r="L11" s="43" t="s">
        <v>421</v>
      </c>
      <c r="M11" s="43" t="s">
        <v>349</v>
      </c>
      <c r="N11" s="43"/>
      <c r="O11" s="43"/>
      <c r="P11" s="43">
        <v>1</v>
      </c>
      <c r="Q11" s="43"/>
      <c r="R11" s="44"/>
      <c r="S11" s="43"/>
      <c r="T11" s="43"/>
      <c r="U11" s="43"/>
      <c r="V11" s="43"/>
      <c r="W11" s="43"/>
      <c r="X11" s="45"/>
      <c r="Y11" s="45"/>
      <c r="Z11" s="44">
        <f>IF(COUNTA(PlanTrabajo4[[#This Row],[ENE]:[DIC]])=0," ",(COUNTIF(PlanTrabajo4[[#This Row],[ENE]:[DIC]],"=2"))/(COUNTA(PlanTrabajo4[[#This Row],[ENE]:[DIC]])))</f>
        <v>0</v>
      </c>
      <c r="AA11" s="40" t="s">
        <v>399</v>
      </c>
    </row>
    <row r="12" spans="1:27" s="46" customFormat="1" ht="269.25" customHeight="1" x14ac:dyDescent="0.25">
      <c r="A12" s="40" t="s">
        <v>48</v>
      </c>
      <c r="B12" s="41" t="s">
        <v>383</v>
      </c>
      <c r="C12" s="55" t="s">
        <v>528</v>
      </c>
      <c r="D12" s="42" t="s">
        <v>412</v>
      </c>
      <c r="E12" s="47" t="s">
        <v>527</v>
      </c>
      <c r="F12" s="43" t="s">
        <v>529</v>
      </c>
      <c r="G12" s="47">
        <v>2</v>
      </c>
      <c r="H12" s="35" t="s">
        <v>379</v>
      </c>
      <c r="I12" s="35" t="s">
        <v>380</v>
      </c>
      <c r="J12" s="43" t="s">
        <v>382</v>
      </c>
      <c r="K12" s="47" t="s">
        <v>381</v>
      </c>
      <c r="L12" s="43" t="s">
        <v>421</v>
      </c>
      <c r="M12" s="43" t="s">
        <v>349</v>
      </c>
      <c r="N12" s="43"/>
      <c r="O12" s="43"/>
      <c r="P12" s="43">
        <v>1</v>
      </c>
      <c r="Q12" s="43"/>
      <c r="R12" s="44"/>
      <c r="S12" s="43"/>
      <c r="T12" s="43"/>
      <c r="U12" s="43"/>
      <c r="V12" s="43"/>
      <c r="W12" s="43"/>
      <c r="X12" s="45"/>
      <c r="Y12" s="45"/>
      <c r="Z12" s="44">
        <f>IF(COUNTA(PlanTrabajo4[[#This Row],[ENE]:[DIC]])=0," ",(COUNTIF(PlanTrabajo4[[#This Row],[ENE]:[DIC]],"=2"))/(COUNTA(PlanTrabajo4[[#This Row],[ENE]:[DIC]])))</f>
        <v>0</v>
      </c>
      <c r="AA12" s="40" t="s">
        <v>399</v>
      </c>
    </row>
    <row r="13" spans="1:27" s="46" customFormat="1" ht="152.25" customHeight="1" x14ac:dyDescent="0.25">
      <c r="A13" s="40" t="s">
        <v>48</v>
      </c>
      <c r="B13" s="41" t="s">
        <v>345</v>
      </c>
      <c r="C13" s="55" t="s">
        <v>372</v>
      </c>
      <c r="D13" s="42" t="s">
        <v>412</v>
      </c>
      <c r="E13" s="47" t="s">
        <v>502</v>
      </c>
      <c r="F13" s="43" t="s">
        <v>486</v>
      </c>
      <c r="G13" s="47">
        <v>2</v>
      </c>
      <c r="H13" s="35" t="s">
        <v>379</v>
      </c>
      <c r="I13" s="35" t="s">
        <v>380</v>
      </c>
      <c r="J13" s="43" t="s">
        <v>382</v>
      </c>
      <c r="K13" s="47" t="s">
        <v>381</v>
      </c>
      <c r="L13" s="43" t="s">
        <v>421</v>
      </c>
      <c r="M13" s="43" t="s">
        <v>349</v>
      </c>
      <c r="N13" s="43"/>
      <c r="O13" s="43"/>
      <c r="P13" s="43">
        <v>1</v>
      </c>
      <c r="Q13" s="43"/>
      <c r="R13" s="44"/>
      <c r="S13" s="43"/>
      <c r="T13" s="43"/>
      <c r="U13" s="43"/>
      <c r="V13" s="43"/>
      <c r="W13" s="43"/>
      <c r="X13" s="45"/>
      <c r="Y13" s="45"/>
      <c r="Z13" s="44">
        <f>IF(COUNTA(PlanTrabajo4[[#This Row],[ENE]:[DIC]])=0," ",(COUNTIF(PlanTrabajo4[[#This Row],[ENE]:[DIC]],"=2"))/(COUNTA(PlanTrabajo4[[#This Row],[ENE]:[DIC]])))</f>
        <v>0</v>
      </c>
      <c r="AA13" s="40" t="s">
        <v>399</v>
      </c>
    </row>
    <row r="14" spans="1:27" ht="195" x14ac:dyDescent="0.25">
      <c r="A14" s="40" t="s">
        <v>42</v>
      </c>
      <c r="B14" s="41" t="s">
        <v>54</v>
      </c>
      <c r="C14" s="61" t="s">
        <v>397</v>
      </c>
      <c r="D14" s="42" t="s">
        <v>409</v>
      </c>
      <c r="E14" s="42" t="s">
        <v>504</v>
      </c>
      <c r="F14" s="43" t="s">
        <v>487</v>
      </c>
      <c r="G14" s="42">
        <v>2</v>
      </c>
      <c r="H14" s="43" t="s">
        <v>30</v>
      </c>
      <c r="I14" s="43" t="s">
        <v>38</v>
      </c>
      <c r="J14" s="43" t="s">
        <v>34</v>
      </c>
      <c r="K14" s="43" t="s">
        <v>358</v>
      </c>
      <c r="L14" s="43" t="s">
        <v>421</v>
      </c>
      <c r="M14" s="43" t="s">
        <v>351</v>
      </c>
      <c r="N14" s="43"/>
      <c r="O14" s="43"/>
      <c r="P14" s="43">
        <v>1</v>
      </c>
      <c r="Q14" s="43"/>
      <c r="R14" s="44"/>
      <c r="S14" s="43"/>
      <c r="T14" s="43"/>
      <c r="U14" s="43"/>
      <c r="V14" s="43"/>
      <c r="W14" s="43"/>
      <c r="X14" s="43"/>
      <c r="Y14" s="45"/>
      <c r="Z14" s="44">
        <f>IF(COUNTA(PlanTrabajo4[[#This Row],[ENE]:[DIC]])=0," ",(COUNTIF(PlanTrabajo4[[#This Row],[ENE]:[DIC]],"=2"))/(COUNTA(PlanTrabajo4[[#This Row],[ENE]:[DIC]])))</f>
        <v>0</v>
      </c>
      <c r="AA14" s="45"/>
    </row>
    <row r="15" spans="1:27" s="46" customFormat="1" ht="162" customHeight="1" x14ac:dyDescent="0.25">
      <c r="A15" s="40" t="s">
        <v>48</v>
      </c>
      <c r="B15" s="41" t="s">
        <v>41</v>
      </c>
      <c r="C15" s="55" t="s">
        <v>371</v>
      </c>
      <c r="D15" s="42" t="s">
        <v>412</v>
      </c>
      <c r="E15" s="47" t="s">
        <v>505</v>
      </c>
      <c r="F15" s="43" t="s">
        <v>488</v>
      </c>
      <c r="G15" s="47">
        <v>2</v>
      </c>
      <c r="H15" s="35" t="s">
        <v>379</v>
      </c>
      <c r="I15" s="35" t="s">
        <v>380</v>
      </c>
      <c r="J15" s="43" t="s">
        <v>382</v>
      </c>
      <c r="K15" s="47" t="s">
        <v>381</v>
      </c>
      <c r="L15" s="43" t="s">
        <v>421</v>
      </c>
      <c r="M15" s="43" t="s">
        <v>349</v>
      </c>
      <c r="N15" s="43"/>
      <c r="O15" s="43"/>
      <c r="P15" s="43">
        <v>1</v>
      </c>
      <c r="Q15" s="43"/>
      <c r="R15" s="44"/>
      <c r="S15" s="43"/>
      <c r="T15" s="43"/>
      <c r="U15" s="43"/>
      <c r="V15" s="43"/>
      <c r="W15" s="43"/>
      <c r="X15" s="45"/>
      <c r="Y15" s="45"/>
      <c r="Z15" s="44">
        <f>IF(COUNTA(PlanTrabajo4[[#This Row],[ENE]:[DIC]])=0," ",(COUNTIF(PlanTrabajo4[[#This Row],[ENE]:[DIC]],"=2"))/(COUNTA(PlanTrabajo4[[#This Row],[ENE]:[DIC]])))</f>
        <v>0</v>
      </c>
      <c r="AA15" s="40" t="s">
        <v>399</v>
      </c>
    </row>
    <row r="16" spans="1:27" s="46" customFormat="1" ht="162" customHeight="1" x14ac:dyDescent="0.25">
      <c r="A16" s="58" t="s">
        <v>48</v>
      </c>
      <c r="B16" s="41" t="s">
        <v>353</v>
      </c>
      <c r="C16" s="55" t="s">
        <v>526</v>
      </c>
      <c r="D16" s="42" t="s">
        <v>43</v>
      </c>
      <c r="E16" s="43" t="s">
        <v>468</v>
      </c>
      <c r="F16" s="43" t="s">
        <v>490</v>
      </c>
      <c r="G16" s="43">
        <v>2</v>
      </c>
      <c r="H16" s="43" t="s">
        <v>30</v>
      </c>
      <c r="I16" s="43" t="s">
        <v>38</v>
      </c>
      <c r="J16" s="43" t="s">
        <v>34</v>
      </c>
      <c r="K16" s="43" t="s">
        <v>358</v>
      </c>
      <c r="L16" s="43" t="s">
        <v>421</v>
      </c>
      <c r="M16" s="43" t="s">
        <v>351</v>
      </c>
      <c r="N16" s="43"/>
      <c r="O16" s="43"/>
      <c r="P16" s="43"/>
      <c r="Q16" s="43">
        <v>1</v>
      </c>
      <c r="R16" s="44"/>
      <c r="S16" s="43"/>
      <c r="T16" s="43"/>
      <c r="U16" s="43"/>
      <c r="V16" s="43"/>
      <c r="W16" s="43"/>
      <c r="X16" s="59"/>
      <c r="Y16" s="59"/>
      <c r="Z16" s="60">
        <f>IF(COUNTA(PlanTrabajo4[[#This Row],[ENE]:[DIC]])=0," ",(COUNTIF(PlanTrabajo4[[#This Row],[ENE]:[DIC]],"=2"))/(COUNTA(PlanTrabajo4[[#This Row],[ENE]:[DIC]])))</f>
        <v>0</v>
      </c>
      <c r="AA16" s="41"/>
    </row>
    <row r="17" spans="1:27" s="46" customFormat="1" ht="111.75" customHeight="1" x14ac:dyDescent="0.25">
      <c r="A17" s="40" t="s">
        <v>48</v>
      </c>
      <c r="B17" s="41" t="s">
        <v>46</v>
      </c>
      <c r="C17" s="55" t="s">
        <v>373</v>
      </c>
      <c r="D17" s="42" t="s">
        <v>417</v>
      </c>
      <c r="E17" s="48" t="s">
        <v>425</v>
      </c>
      <c r="F17" s="43" t="s">
        <v>426</v>
      </c>
      <c r="G17" s="47">
        <v>2</v>
      </c>
      <c r="H17" s="43" t="s">
        <v>30</v>
      </c>
      <c r="I17" s="35" t="s">
        <v>380</v>
      </c>
      <c r="J17" s="43" t="s">
        <v>382</v>
      </c>
      <c r="K17" s="47" t="s">
        <v>381</v>
      </c>
      <c r="L17" s="43" t="s">
        <v>421</v>
      </c>
      <c r="M17" s="43" t="s">
        <v>349</v>
      </c>
      <c r="N17" s="43"/>
      <c r="O17" s="43"/>
      <c r="P17" s="43"/>
      <c r="Q17" s="43">
        <v>1</v>
      </c>
      <c r="R17" s="44"/>
      <c r="S17" s="43"/>
      <c r="T17" s="43"/>
      <c r="U17" s="43"/>
      <c r="V17" s="43"/>
      <c r="W17" s="43"/>
      <c r="X17" s="45"/>
      <c r="Y17" s="45"/>
      <c r="Z17" s="44">
        <f>IF(COUNTA(PlanTrabajo4[[#This Row],[ENE]:[DIC]])=0," ",(COUNTIF(PlanTrabajo4[[#This Row],[ENE]:[DIC]],"=2"))/(COUNTA(PlanTrabajo4[[#This Row],[ENE]:[DIC]])))</f>
        <v>0</v>
      </c>
      <c r="AA17" s="40" t="s">
        <v>399</v>
      </c>
    </row>
    <row r="18" spans="1:27" s="46" customFormat="1" ht="111" customHeight="1" x14ac:dyDescent="0.25">
      <c r="A18" s="40" t="s">
        <v>48</v>
      </c>
      <c r="B18" s="41" t="s">
        <v>46</v>
      </c>
      <c r="C18" s="55" t="s">
        <v>530</v>
      </c>
      <c r="D18" s="42" t="s">
        <v>417</v>
      </c>
      <c r="E18" s="48" t="s">
        <v>506</v>
      </c>
      <c r="F18" s="43" t="s">
        <v>427</v>
      </c>
      <c r="G18" s="47">
        <v>2</v>
      </c>
      <c r="H18" s="43" t="s">
        <v>30</v>
      </c>
      <c r="I18" s="35" t="s">
        <v>380</v>
      </c>
      <c r="J18" s="43" t="s">
        <v>382</v>
      </c>
      <c r="K18" s="47" t="s">
        <v>381</v>
      </c>
      <c r="L18" s="43" t="s">
        <v>421</v>
      </c>
      <c r="M18" s="43" t="s">
        <v>349</v>
      </c>
      <c r="N18" s="43"/>
      <c r="O18" s="43"/>
      <c r="P18" s="43"/>
      <c r="Q18" s="43">
        <v>1</v>
      </c>
      <c r="R18" s="44"/>
      <c r="S18" s="43"/>
      <c r="T18" s="43"/>
      <c r="U18" s="43"/>
      <c r="V18" s="43"/>
      <c r="W18" s="43"/>
      <c r="X18" s="45"/>
      <c r="Y18" s="45"/>
      <c r="Z18" s="44">
        <f>IF(COUNTA(PlanTrabajo4[[#This Row],[ENE]:[DIC]])=0," ",(COUNTIF(PlanTrabajo4[[#This Row],[ENE]:[DIC]],"=2"))/(COUNTA(PlanTrabajo4[[#This Row],[ENE]:[DIC]])))</f>
        <v>0</v>
      </c>
      <c r="AA18" s="40" t="s">
        <v>399</v>
      </c>
    </row>
    <row r="19" spans="1:27" s="46" customFormat="1" ht="165" x14ac:dyDescent="0.25">
      <c r="A19" s="40" t="s">
        <v>48</v>
      </c>
      <c r="B19" s="41" t="s">
        <v>40</v>
      </c>
      <c r="C19" s="61" t="s">
        <v>428</v>
      </c>
      <c r="D19" s="42" t="s">
        <v>43</v>
      </c>
      <c r="E19" s="42" t="s">
        <v>507</v>
      </c>
      <c r="F19" s="43" t="s">
        <v>429</v>
      </c>
      <c r="G19" s="42">
        <v>2</v>
      </c>
      <c r="H19" s="43" t="s">
        <v>30</v>
      </c>
      <c r="I19" s="43" t="s">
        <v>33</v>
      </c>
      <c r="J19" s="43" t="s">
        <v>34</v>
      </c>
      <c r="K19" s="43" t="s">
        <v>358</v>
      </c>
      <c r="L19" s="43" t="s">
        <v>421</v>
      </c>
      <c r="M19" s="43" t="s">
        <v>351</v>
      </c>
      <c r="N19" s="43"/>
      <c r="O19" s="43"/>
      <c r="P19" s="43"/>
      <c r="Q19" s="43">
        <v>1</v>
      </c>
      <c r="R19" s="44"/>
      <c r="S19" s="43"/>
      <c r="T19" s="43"/>
      <c r="U19" s="43"/>
      <c r="V19" s="43"/>
      <c r="W19" s="43"/>
      <c r="X19" s="45"/>
      <c r="Y19" s="45"/>
      <c r="Z19" s="44">
        <f>IF(COUNTA(PlanTrabajo4[[#This Row],[ENE]:[DIC]])=0," ",(COUNTIF(PlanTrabajo4[[#This Row],[ENE]:[DIC]],"=2"))/(COUNTA(PlanTrabajo4[[#This Row],[ENE]:[DIC]])))</f>
        <v>0</v>
      </c>
      <c r="AA19" s="45"/>
    </row>
    <row r="20" spans="1:27" s="46" customFormat="1" ht="285" x14ac:dyDescent="0.25">
      <c r="A20" s="58" t="s">
        <v>48</v>
      </c>
      <c r="B20" s="41" t="s">
        <v>369</v>
      </c>
      <c r="C20" s="61" t="s">
        <v>533</v>
      </c>
      <c r="D20" s="42" t="s">
        <v>419</v>
      </c>
      <c r="E20" s="42" t="s">
        <v>535</v>
      </c>
      <c r="F20" s="43" t="s">
        <v>534</v>
      </c>
      <c r="G20" s="42">
        <v>2</v>
      </c>
      <c r="H20" s="43" t="s">
        <v>30</v>
      </c>
      <c r="I20" s="43" t="s">
        <v>33</v>
      </c>
      <c r="J20" s="43" t="s">
        <v>34</v>
      </c>
      <c r="K20" s="43" t="s">
        <v>358</v>
      </c>
      <c r="L20" s="43" t="s">
        <v>421</v>
      </c>
      <c r="M20" s="43" t="s">
        <v>351</v>
      </c>
      <c r="N20" s="43"/>
      <c r="O20" s="43"/>
      <c r="P20" s="43"/>
      <c r="Q20" s="43">
        <v>1</v>
      </c>
      <c r="R20" s="44"/>
      <c r="S20" s="43"/>
      <c r="T20" s="43"/>
      <c r="U20" s="43"/>
      <c r="V20" s="43"/>
      <c r="W20" s="43"/>
      <c r="X20" s="59"/>
      <c r="Y20" s="59"/>
      <c r="Z20" s="60">
        <f>IF(COUNTA(PlanTrabajo4[[#This Row],[ENE]:[DIC]])=0," ",(COUNTIF(PlanTrabajo4[[#This Row],[ENE]:[DIC]],"=2"))/(COUNTA(PlanTrabajo4[[#This Row],[ENE]:[DIC]])))</f>
        <v>0</v>
      </c>
      <c r="AA20" s="45"/>
    </row>
    <row r="21" spans="1:27" s="46" customFormat="1" ht="69.75" customHeight="1" x14ac:dyDescent="0.25">
      <c r="A21" s="40" t="s">
        <v>48</v>
      </c>
      <c r="B21" s="41" t="s">
        <v>55</v>
      </c>
      <c r="C21" s="55" t="s">
        <v>377</v>
      </c>
      <c r="D21" s="42" t="s">
        <v>417</v>
      </c>
      <c r="E21" s="47" t="s">
        <v>508</v>
      </c>
      <c r="F21" s="43" t="s">
        <v>430</v>
      </c>
      <c r="G21" s="47">
        <v>2</v>
      </c>
      <c r="H21" s="43" t="s">
        <v>30</v>
      </c>
      <c r="I21" s="35" t="s">
        <v>380</v>
      </c>
      <c r="J21" s="43" t="s">
        <v>382</v>
      </c>
      <c r="K21" s="47" t="s">
        <v>381</v>
      </c>
      <c r="L21" s="43" t="s">
        <v>421</v>
      </c>
      <c r="M21" s="43" t="s">
        <v>349</v>
      </c>
      <c r="N21" s="43"/>
      <c r="O21" s="43"/>
      <c r="P21" s="43"/>
      <c r="Q21" s="43"/>
      <c r="R21" s="43">
        <v>1</v>
      </c>
      <c r="S21" s="43"/>
      <c r="T21" s="43"/>
      <c r="U21" s="43"/>
      <c r="V21" s="43"/>
      <c r="W21" s="43"/>
      <c r="X21" s="45"/>
      <c r="Y21" s="45"/>
      <c r="Z21" s="44">
        <f>IF(COUNTA(PlanTrabajo4[[#This Row],[ENE]:[DIC]])=0," ",(COUNTIF(PlanTrabajo4[[#This Row],[ENE]:[DIC]],"=2"))/(COUNTA(PlanTrabajo4[[#This Row],[ENE]:[DIC]])))</f>
        <v>0</v>
      </c>
      <c r="AA21" s="40" t="s">
        <v>399</v>
      </c>
    </row>
    <row r="22" spans="1:27" s="46" customFormat="1" ht="195" x14ac:dyDescent="0.25">
      <c r="A22" s="40" t="s">
        <v>48</v>
      </c>
      <c r="B22" s="41" t="s">
        <v>50</v>
      </c>
      <c r="C22" s="61" t="s">
        <v>385</v>
      </c>
      <c r="D22" s="42" t="s">
        <v>412</v>
      </c>
      <c r="E22" s="42" t="s">
        <v>431</v>
      </c>
      <c r="F22" s="43" t="s">
        <v>432</v>
      </c>
      <c r="G22" s="42">
        <v>2</v>
      </c>
      <c r="H22" s="43" t="s">
        <v>30</v>
      </c>
      <c r="I22" s="43" t="s">
        <v>33</v>
      </c>
      <c r="J22" s="43" t="s">
        <v>34</v>
      </c>
      <c r="K22" s="43" t="s">
        <v>358</v>
      </c>
      <c r="L22" s="43" t="s">
        <v>421</v>
      </c>
      <c r="M22" s="43" t="s">
        <v>351</v>
      </c>
      <c r="N22" s="43"/>
      <c r="O22" s="43"/>
      <c r="P22" s="43"/>
      <c r="Q22" s="43"/>
      <c r="R22" s="43">
        <v>1</v>
      </c>
      <c r="S22" s="43"/>
      <c r="T22" s="43"/>
      <c r="U22" s="43"/>
      <c r="V22" s="43"/>
      <c r="W22" s="43"/>
      <c r="X22" s="45"/>
      <c r="Y22" s="45"/>
      <c r="Z22" s="44">
        <f>IF(COUNTA(PlanTrabajo4[[#This Row],[ENE]:[DIC]])=0," ",(COUNTIF(PlanTrabajo4[[#This Row],[ENE]:[DIC]],"=2"))/(COUNTA(PlanTrabajo4[[#This Row],[ENE]:[DIC]])))</f>
        <v>0</v>
      </c>
      <c r="AA22" s="45"/>
    </row>
    <row r="23" spans="1:27" s="46" customFormat="1" ht="225" x14ac:dyDescent="0.25">
      <c r="A23" s="40" t="s">
        <v>48</v>
      </c>
      <c r="B23" s="41" t="s">
        <v>345</v>
      </c>
      <c r="C23" s="61" t="s">
        <v>390</v>
      </c>
      <c r="D23" s="42" t="s">
        <v>412</v>
      </c>
      <c r="E23" s="42" t="s">
        <v>433</v>
      </c>
      <c r="F23" s="43" t="s">
        <v>434</v>
      </c>
      <c r="G23" s="42">
        <v>2</v>
      </c>
      <c r="H23" s="43" t="s">
        <v>30</v>
      </c>
      <c r="I23" s="43" t="s">
        <v>38</v>
      </c>
      <c r="J23" s="43" t="s">
        <v>34</v>
      </c>
      <c r="K23" s="43" t="s">
        <v>358</v>
      </c>
      <c r="L23" s="43" t="s">
        <v>421</v>
      </c>
      <c r="M23" s="43" t="s">
        <v>351</v>
      </c>
      <c r="N23" s="43"/>
      <c r="O23" s="43"/>
      <c r="P23" s="43"/>
      <c r="Q23" s="43"/>
      <c r="R23" s="43">
        <v>1</v>
      </c>
      <c r="S23" s="43"/>
      <c r="T23" s="43"/>
      <c r="U23" s="43"/>
      <c r="V23" s="43"/>
      <c r="W23" s="43"/>
      <c r="X23" s="45"/>
      <c r="Y23" s="45"/>
      <c r="Z23" s="44">
        <f>IF(COUNTA(PlanTrabajo4[[#This Row],[ENE]:[DIC]])=0," ",(COUNTIF(PlanTrabajo4[[#This Row],[ENE]:[DIC]],"=2"))/(COUNTA(PlanTrabajo4[[#This Row],[ENE]:[DIC]])))</f>
        <v>0</v>
      </c>
      <c r="AA23" s="40" t="s">
        <v>399</v>
      </c>
    </row>
    <row r="24" spans="1:27" s="46" customFormat="1" ht="270" x14ac:dyDescent="0.25">
      <c r="A24" s="40" t="s">
        <v>36</v>
      </c>
      <c r="B24" s="41" t="s">
        <v>36</v>
      </c>
      <c r="C24" s="61" t="s">
        <v>396</v>
      </c>
      <c r="D24" s="42" t="s">
        <v>418</v>
      </c>
      <c r="E24" s="42" t="s">
        <v>509</v>
      </c>
      <c r="F24" s="43" t="s">
        <v>510</v>
      </c>
      <c r="G24" s="42">
        <v>2</v>
      </c>
      <c r="H24" s="43" t="s">
        <v>401</v>
      </c>
      <c r="I24" s="43" t="s">
        <v>38</v>
      </c>
      <c r="J24" s="43" t="s">
        <v>34</v>
      </c>
      <c r="K24" s="43" t="s">
        <v>358</v>
      </c>
      <c r="L24" s="43" t="s">
        <v>421</v>
      </c>
      <c r="M24" s="43" t="s">
        <v>351</v>
      </c>
      <c r="N24" s="43"/>
      <c r="O24" s="43"/>
      <c r="P24" s="43"/>
      <c r="Q24" s="43"/>
      <c r="R24" s="43">
        <v>1</v>
      </c>
      <c r="S24" s="43"/>
      <c r="T24" s="43"/>
      <c r="U24" s="43"/>
      <c r="V24" s="43"/>
      <c r="W24" s="43"/>
      <c r="X24" s="45"/>
      <c r="Y24" s="45"/>
      <c r="Z24" s="44">
        <f>IF(COUNTA(PlanTrabajo4[[#This Row],[ENE]:[DIC]])=0," ",(COUNTIF(PlanTrabajo4[[#This Row],[ENE]:[DIC]],"=2"))/(COUNTA(PlanTrabajo4[[#This Row],[ENE]:[DIC]])))</f>
        <v>0</v>
      </c>
      <c r="AA24" s="45"/>
    </row>
    <row r="25" spans="1:27" s="46" customFormat="1" ht="69.75" customHeight="1" x14ac:dyDescent="0.25">
      <c r="A25" s="40" t="s">
        <v>48</v>
      </c>
      <c r="B25" s="41" t="s">
        <v>46</v>
      </c>
      <c r="C25" s="55" t="s">
        <v>374</v>
      </c>
      <c r="D25" s="42" t="s">
        <v>418</v>
      </c>
      <c r="E25" s="47" t="s">
        <v>511</v>
      </c>
      <c r="F25" s="43" t="s">
        <v>512</v>
      </c>
      <c r="G25" s="47">
        <v>2</v>
      </c>
      <c r="H25" s="43" t="s">
        <v>30</v>
      </c>
      <c r="I25" s="35" t="s">
        <v>380</v>
      </c>
      <c r="J25" s="43" t="s">
        <v>382</v>
      </c>
      <c r="K25" s="47" t="s">
        <v>381</v>
      </c>
      <c r="L25" s="43" t="s">
        <v>421</v>
      </c>
      <c r="M25" s="43" t="s">
        <v>349</v>
      </c>
      <c r="N25" s="43"/>
      <c r="O25" s="43"/>
      <c r="P25" s="43"/>
      <c r="Q25" s="43"/>
      <c r="R25" s="43">
        <v>1</v>
      </c>
      <c r="S25" s="43"/>
      <c r="T25" s="43"/>
      <c r="U25" s="43"/>
      <c r="V25" s="43"/>
      <c r="W25" s="43"/>
      <c r="X25" s="45"/>
      <c r="Y25" s="45"/>
      <c r="Z25" s="44">
        <f>IF(COUNTA(PlanTrabajo4[[#This Row],[ENE]:[DIC]])=0," ",(COUNTIF(PlanTrabajo4[[#This Row],[ENE]:[DIC]],"=2"))/(COUNTA(PlanTrabajo4[[#This Row],[ENE]:[DIC]])))</f>
        <v>0</v>
      </c>
      <c r="AA25" s="40" t="s">
        <v>399</v>
      </c>
    </row>
    <row r="26" spans="1:27" s="46" customFormat="1" ht="69.75" customHeight="1" x14ac:dyDescent="0.25">
      <c r="A26" s="40" t="s">
        <v>48</v>
      </c>
      <c r="B26" s="41" t="s">
        <v>51</v>
      </c>
      <c r="C26" s="61" t="s">
        <v>330</v>
      </c>
      <c r="D26" s="42" t="s">
        <v>418</v>
      </c>
      <c r="E26" s="42" t="s">
        <v>435</v>
      </c>
      <c r="F26" s="43" t="s">
        <v>436</v>
      </c>
      <c r="G26" s="42">
        <v>2</v>
      </c>
      <c r="H26" s="43" t="s">
        <v>30</v>
      </c>
      <c r="I26" s="43" t="s">
        <v>33</v>
      </c>
      <c r="J26" s="43" t="s">
        <v>34</v>
      </c>
      <c r="K26" s="43" t="s">
        <v>358</v>
      </c>
      <c r="L26" s="43" t="s">
        <v>421</v>
      </c>
      <c r="M26" s="43" t="s">
        <v>351</v>
      </c>
      <c r="N26" s="43"/>
      <c r="O26" s="43"/>
      <c r="P26" s="43"/>
      <c r="Q26" s="43"/>
      <c r="R26" s="43"/>
      <c r="S26" s="43">
        <v>1</v>
      </c>
      <c r="T26" s="43"/>
      <c r="U26" s="43"/>
      <c r="V26" s="43"/>
      <c r="W26" s="43"/>
      <c r="X26" s="45"/>
      <c r="Y26" s="45"/>
      <c r="Z26" s="44">
        <f>IF(COUNTA(PlanTrabajo4[[#This Row],[ENE]:[DIC]])=0," ",(COUNTIF(PlanTrabajo4[[#This Row],[ENE]:[DIC]],"=2"))/(COUNTA(PlanTrabajo4[[#This Row],[ENE]:[DIC]])))</f>
        <v>0</v>
      </c>
      <c r="AA26" s="43"/>
    </row>
    <row r="27" spans="1:27" s="46" customFormat="1" ht="210" x14ac:dyDescent="0.25">
      <c r="A27" s="40" t="s">
        <v>48</v>
      </c>
      <c r="B27" s="41" t="s">
        <v>46</v>
      </c>
      <c r="C27" s="61" t="s">
        <v>324</v>
      </c>
      <c r="D27" s="42" t="s">
        <v>417</v>
      </c>
      <c r="E27" s="42" t="s">
        <v>437</v>
      </c>
      <c r="F27" s="43" t="s">
        <v>438</v>
      </c>
      <c r="G27" s="42">
        <v>2</v>
      </c>
      <c r="H27" s="43" t="s">
        <v>30</v>
      </c>
      <c r="I27" s="43" t="s">
        <v>38</v>
      </c>
      <c r="J27" s="43" t="s">
        <v>34</v>
      </c>
      <c r="K27" s="43" t="s">
        <v>358</v>
      </c>
      <c r="L27" s="43" t="s">
        <v>421</v>
      </c>
      <c r="M27" s="43" t="s">
        <v>351</v>
      </c>
      <c r="N27" s="43"/>
      <c r="O27" s="43"/>
      <c r="P27" s="43"/>
      <c r="Q27" s="43"/>
      <c r="R27" s="43"/>
      <c r="S27" s="43">
        <v>1</v>
      </c>
      <c r="T27" s="43"/>
      <c r="U27" s="43"/>
      <c r="V27" s="43"/>
      <c r="W27" s="43"/>
      <c r="X27" s="45"/>
      <c r="Y27" s="45"/>
      <c r="Z27" s="44">
        <f>IF(COUNTA(PlanTrabajo4[[#This Row],[ENE]:[DIC]])=0," ",(COUNTIF(PlanTrabajo4[[#This Row],[ENE]:[DIC]],"=2"))/(COUNTA(PlanTrabajo4[[#This Row],[ENE]:[DIC]])))</f>
        <v>0</v>
      </c>
      <c r="AA27" s="40" t="s">
        <v>399</v>
      </c>
    </row>
    <row r="28" spans="1:27" s="46" customFormat="1" ht="256.5" customHeight="1" x14ac:dyDescent="0.25">
      <c r="A28" s="40" t="s">
        <v>48</v>
      </c>
      <c r="B28" s="41" t="s">
        <v>369</v>
      </c>
      <c r="C28" s="61" t="s">
        <v>393</v>
      </c>
      <c r="D28" s="42" t="s">
        <v>418</v>
      </c>
      <c r="E28" s="42" t="s">
        <v>439</v>
      </c>
      <c r="F28" s="43" t="s">
        <v>440</v>
      </c>
      <c r="G28" s="42">
        <v>2</v>
      </c>
      <c r="H28" s="43" t="s">
        <v>30</v>
      </c>
      <c r="I28" s="43" t="s">
        <v>53</v>
      </c>
      <c r="J28" s="43" t="s">
        <v>34</v>
      </c>
      <c r="K28" s="43" t="s">
        <v>358</v>
      </c>
      <c r="L28" s="43" t="s">
        <v>421</v>
      </c>
      <c r="M28" s="43" t="s">
        <v>351</v>
      </c>
      <c r="N28" s="43"/>
      <c r="O28" s="43"/>
      <c r="P28" s="43"/>
      <c r="Q28" s="43"/>
      <c r="R28" s="43"/>
      <c r="S28" s="43">
        <v>1</v>
      </c>
      <c r="T28" s="43"/>
      <c r="U28" s="43"/>
      <c r="V28" s="43"/>
      <c r="W28" s="43"/>
      <c r="X28" s="45"/>
      <c r="Y28" s="45"/>
      <c r="Z28" s="44">
        <f>IF(COUNTA(PlanTrabajo4[[#This Row],[ENE]:[DIC]])=0," ",(COUNTIF(PlanTrabajo4[[#This Row],[ENE]:[DIC]],"=2"))/(COUNTA(PlanTrabajo4[[#This Row],[ENE]:[DIC]])))</f>
        <v>0</v>
      </c>
      <c r="AA28" s="40" t="s">
        <v>399</v>
      </c>
    </row>
    <row r="29" spans="1:27" s="46" customFormat="1" ht="255" x14ac:dyDescent="0.25">
      <c r="A29" s="40" t="s">
        <v>48</v>
      </c>
      <c r="B29" s="41" t="s">
        <v>39</v>
      </c>
      <c r="C29" s="61" t="s">
        <v>524</v>
      </c>
      <c r="D29" s="42" t="s">
        <v>412</v>
      </c>
      <c r="E29" s="42" t="s">
        <v>441</v>
      </c>
      <c r="F29" s="43" t="s">
        <v>442</v>
      </c>
      <c r="G29" s="42">
        <v>2</v>
      </c>
      <c r="H29" s="43" t="s">
        <v>30</v>
      </c>
      <c r="I29" s="43" t="s">
        <v>38</v>
      </c>
      <c r="J29" s="43" t="s">
        <v>34</v>
      </c>
      <c r="K29" s="43" t="s">
        <v>358</v>
      </c>
      <c r="L29" s="43" t="s">
        <v>421</v>
      </c>
      <c r="M29" s="43" t="s">
        <v>351</v>
      </c>
      <c r="N29" s="43"/>
      <c r="O29" s="43"/>
      <c r="P29" s="43"/>
      <c r="Q29" s="43"/>
      <c r="R29" s="43"/>
      <c r="S29" s="43">
        <v>1</v>
      </c>
      <c r="T29" s="43"/>
      <c r="U29" s="43"/>
      <c r="V29" s="43"/>
      <c r="W29" s="43"/>
      <c r="X29" s="45"/>
      <c r="Y29" s="45"/>
      <c r="Z29" s="44">
        <f>IF(COUNTA(PlanTrabajo4[[#This Row],[ENE]:[DIC]])=0," ",(COUNTIF(PlanTrabajo4[[#This Row],[ENE]:[DIC]],"=2"))/(COUNTA(PlanTrabajo4[[#This Row],[ENE]:[DIC]])))</f>
        <v>0</v>
      </c>
      <c r="AA29" s="56" t="s">
        <v>525</v>
      </c>
    </row>
    <row r="30" spans="1:27" s="46" customFormat="1" ht="210" x14ac:dyDescent="0.25">
      <c r="A30" s="40" t="s">
        <v>48</v>
      </c>
      <c r="B30" s="41" t="s">
        <v>50</v>
      </c>
      <c r="C30" s="61" t="s">
        <v>391</v>
      </c>
      <c r="D30" s="42" t="s">
        <v>418</v>
      </c>
      <c r="E30" s="42" t="s">
        <v>443</v>
      </c>
      <c r="F30" s="43" t="s">
        <v>444</v>
      </c>
      <c r="G30" s="42">
        <v>2</v>
      </c>
      <c r="H30" s="43" t="s">
        <v>30</v>
      </c>
      <c r="I30" s="43" t="s">
        <v>38</v>
      </c>
      <c r="J30" s="43" t="s">
        <v>34</v>
      </c>
      <c r="K30" s="43" t="s">
        <v>358</v>
      </c>
      <c r="L30" s="43" t="s">
        <v>421</v>
      </c>
      <c r="M30" s="43" t="s">
        <v>351</v>
      </c>
      <c r="N30" s="43"/>
      <c r="O30" s="43"/>
      <c r="P30" s="43"/>
      <c r="Q30" s="43"/>
      <c r="R30" s="44"/>
      <c r="S30" s="43">
        <v>1</v>
      </c>
      <c r="T30" s="43"/>
      <c r="U30" s="43"/>
      <c r="V30" s="43"/>
      <c r="W30" s="43"/>
      <c r="X30" s="45"/>
      <c r="Y30" s="45"/>
      <c r="Z30" s="44">
        <f>IF(COUNTA(PlanTrabajo4[[#This Row],[ENE]:[DIC]])=0," ",(COUNTIF(PlanTrabajo4[[#This Row],[ENE]:[DIC]],"=2"))/(COUNTA(PlanTrabajo4[[#This Row],[ENE]:[DIC]])))</f>
        <v>0</v>
      </c>
      <c r="AA30" s="40" t="s">
        <v>399</v>
      </c>
    </row>
    <row r="31" spans="1:27" s="46" customFormat="1" ht="255" x14ac:dyDescent="0.25">
      <c r="A31" s="40" t="s">
        <v>48</v>
      </c>
      <c r="B31" s="41" t="s">
        <v>369</v>
      </c>
      <c r="C31" s="61" t="s">
        <v>394</v>
      </c>
      <c r="D31" s="42" t="s">
        <v>417</v>
      </c>
      <c r="E31" s="42" t="s">
        <v>445</v>
      </c>
      <c r="F31" s="43" t="s">
        <v>446</v>
      </c>
      <c r="G31" s="42">
        <v>2</v>
      </c>
      <c r="H31" s="43" t="s">
        <v>30</v>
      </c>
      <c r="I31" s="43" t="s">
        <v>38</v>
      </c>
      <c r="J31" s="43" t="s">
        <v>34</v>
      </c>
      <c r="K31" s="43" t="s">
        <v>358</v>
      </c>
      <c r="L31" s="43" t="s">
        <v>421</v>
      </c>
      <c r="M31" s="43" t="s">
        <v>351</v>
      </c>
      <c r="N31" s="43"/>
      <c r="O31" s="43"/>
      <c r="P31" s="43"/>
      <c r="Q31" s="43"/>
      <c r="R31" s="44"/>
      <c r="S31" s="43"/>
      <c r="T31" s="43">
        <v>1</v>
      </c>
      <c r="U31" s="43"/>
      <c r="V31" s="43"/>
      <c r="W31" s="43"/>
      <c r="X31" s="45"/>
      <c r="Y31" s="45"/>
      <c r="Z31" s="44">
        <f>IF(COUNTA(PlanTrabajo4[[#This Row],[ENE]:[DIC]])=0," ",(COUNTIF(PlanTrabajo4[[#This Row],[ENE]:[DIC]],"=2"))/(COUNTA(PlanTrabajo4[[#This Row],[ENE]:[DIC]])))</f>
        <v>0</v>
      </c>
      <c r="AA31" s="40" t="s">
        <v>399</v>
      </c>
    </row>
    <row r="32" spans="1:27" s="46" customFormat="1" ht="285" x14ac:dyDescent="0.25">
      <c r="A32" s="40" t="s">
        <v>48</v>
      </c>
      <c r="B32" s="41" t="s">
        <v>317</v>
      </c>
      <c r="C32" s="61" t="s">
        <v>386</v>
      </c>
      <c r="D32" s="42" t="s">
        <v>417</v>
      </c>
      <c r="E32" s="42" t="s">
        <v>513</v>
      </c>
      <c r="F32" s="43" t="s">
        <v>514</v>
      </c>
      <c r="G32" s="42">
        <v>2</v>
      </c>
      <c r="H32" s="43" t="s">
        <v>30</v>
      </c>
      <c r="I32" s="43" t="s">
        <v>38</v>
      </c>
      <c r="J32" s="43" t="s">
        <v>34</v>
      </c>
      <c r="K32" s="43" t="s">
        <v>358</v>
      </c>
      <c r="L32" s="43" t="s">
        <v>421</v>
      </c>
      <c r="M32" s="43" t="s">
        <v>351</v>
      </c>
      <c r="N32" s="43"/>
      <c r="O32" s="43"/>
      <c r="P32" s="43"/>
      <c r="Q32" s="43"/>
      <c r="R32" s="44"/>
      <c r="S32" s="43"/>
      <c r="T32" s="43">
        <v>1</v>
      </c>
      <c r="U32" s="43"/>
      <c r="V32" s="43"/>
      <c r="W32" s="43"/>
      <c r="X32" s="45"/>
      <c r="Y32" s="45"/>
      <c r="Z32" s="44">
        <f>IF(COUNTA(PlanTrabajo4[[#This Row],[ENE]:[DIC]])=0," ",(COUNTIF(PlanTrabajo4[[#This Row],[ENE]:[DIC]],"=2"))/(COUNTA(PlanTrabajo4[[#This Row],[ENE]:[DIC]])))</f>
        <v>0</v>
      </c>
      <c r="AA32" s="45"/>
    </row>
    <row r="33" spans="1:27" ht="225" x14ac:dyDescent="0.25">
      <c r="A33" s="40" t="s">
        <v>48</v>
      </c>
      <c r="B33" s="41" t="s">
        <v>47</v>
      </c>
      <c r="C33" s="61" t="s">
        <v>398</v>
      </c>
      <c r="D33" s="42" t="s">
        <v>417</v>
      </c>
      <c r="E33" s="42" t="s">
        <v>447</v>
      </c>
      <c r="F33" s="43" t="s">
        <v>448</v>
      </c>
      <c r="G33" s="42">
        <v>2</v>
      </c>
      <c r="H33" s="43" t="s">
        <v>30</v>
      </c>
      <c r="I33" s="43" t="s">
        <v>38</v>
      </c>
      <c r="J33" s="43" t="s">
        <v>34</v>
      </c>
      <c r="K33" s="43" t="s">
        <v>358</v>
      </c>
      <c r="L33" s="43" t="s">
        <v>421</v>
      </c>
      <c r="M33" s="43" t="s">
        <v>351</v>
      </c>
      <c r="N33" s="43"/>
      <c r="O33" s="43"/>
      <c r="P33" s="43"/>
      <c r="Q33" s="43"/>
      <c r="R33" s="44"/>
      <c r="S33" s="43"/>
      <c r="T33" s="43">
        <v>1</v>
      </c>
      <c r="U33" s="43"/>
      <c r="V33" s="43"/>
      <c r="W33" s="43"/>
      <c r="X33" s="43"/>
      <c r="Y33" s="45"/>
      <c r="Z33" s="44">
        <f>IF(COUNTA(PlanTrabajo4[[#This Row],[ENE]:[DIC]])=0," ",(COUNTIF(PlanTrabajo4[[#This Row],[ENE]:[DIC]],"=2"))/(COUNTA(PlanTrabajo4[[#This Row],[ENE]:[DIC]])))</f>
        <v>0</v>
      </c>
      <c r="AA33" s="45"/>
    </row>
    <row r="34" spans="1:27" s="46" customFormat="1" ht="210" x14ac:dyDescent="0.25">
      <c r="A34" s="40" t="s">
        <v>36</v>
      </c>
      <c r="B34" s="41" t="s">
        <v>36</v>
      </c>
      <c r="C34" s="61" t="s">
        <v>332</v>
      </c>
      <c r="D34" s="42" t="s">
        <v>417</v>
      </c>
      <c r="E34" s="42" t="s">
        <v>449</v>
      </c>
      <c r="F34" s="43" t="s">
        <v>450</v>
      </c>
      <c r="G34" s="42">
        <v>3</v>
      </c>
      <c r="H34" s="43" t="s">
        <v>402</v>
      </c>
      <c r="I34" s="43" t="s">
        <v>403</v>
      </c>
      <c r="J34" s="43" t="s">
        <v>34</v>
      </c>
      <c r="K34" s="43" t="s">
        <v>358</v>
      </c>
      <c r="L34" s="43" t="s">
        <v>421</v>
      </c>
      <c r="M34" s="43" t="s">
        <v>351</v>
      </c>
      <c r="N34" s="43"/>
      <c r="O34" s="43"/>
      <c r="P34" s="43"/>
      <c r="Q34" s="43"/>
      <c r="R34" s="44"/>
      <c r="S34" s="43"/>
      <c r="T34" s="43">
        <v>1</v>
      </c>
      <c r="U34" s="43"/>
      <c r="V34" s="43"/>
      <c r="W34" s="43"/>
      <c r="X34" s="45"/>
      <c r="Y34" s="45"/>
      <c r="Z34" s="44">
        <f>IF(COUNTA(PlanTrabajo4[[#This Row],[ENE]:[DIC]])=0," ",(COUNTIF(PlanTrabajo4[[#This Row],[ENE]:[DIC]],"=2"))/(COUNTA(PlanTrabajo4[[#This Row],[ENE]:[DIC]])))</f>
        <v>0</v>
      </c>
      <c r="AA34" s="40" t="s">
        <v>399</v>
      </c>
    </row>
    <row r="35" spans="1:27" s="46" customFormat="1" ht="180" x14ac:dyDescent="0.25">
      <c r="A35" s="40" t="s">
        <v>48</v>
      </c>
      <c r="B35" s="41" t="s">
        <v>46</v>
      </c>
      <c r="C35" s="61" t="s">
        <v>325</v>
      </c>
      <c r="D35" s="42" t="s">
        <v>323</v>
      </c>
      <c r="E35" s="42" t="s">
        <v>451</v>
      </c>
      <c r="F35" s="43" t="s">
        <v>452</v>
      </c>
      <c r="G35" s="42">
        <v>2</v>
      </c>
      <c r="H35" s="43" t="s">
        <v>30</v>
      </c>
      <c r="I35" s="43" t="s">
        <v>38</v>
      </c>
      <c r="J35" s="43" t="s">
        <v>34</v>
      </c>
      <c r="K35" s="43" t="s">
        <v>358</v>
      </c>
      <c r="L35" s="43" t="s">
        <v>421</v>
      </c>
      <c r="M35" s="43" t="s">
        <v>351</v>
      </c>
      <c r="N35" s="43"/>
      <c r="O35" s="43"/>
      <c r="P35" s="43"/>
      <c r="Q35" s="43"/>
      <c r="R35" s="44"/>
      <c r="S35" s="43"/>
      <c r="T35" s="43">
        <v>1</v>
      </c>
      <c r="U35" s="43"/>
      <c r="V35" s="43"/>
      <c r="W35" s="43"/>
      <c r="X35" s="45"/>
      <c r="Y35" s="45"/>
      <c r="Z35" s="44">
        <f>IF(COUNTA(PlanTrabajo4[[#This Row],[ENE]:[DIC]])=0," ",(COUNTIF(PlanTrabajo4[[#This Row],[ENE]:[DIC]],"=2"))/(COUNTA(PlanTrabajo4[[#This Row],[ENE]:[DIC]])))</f>
        <v>0</v>
      </c>
      <c r="AA35" s="40" t="s">
        <v>399</v>
      </c>
    </row>
    <row r="36" spans="1:27" s="46" customFormat="1" ht="225" x14ac:dyDescent="0.25">
      <c r="A36" s="40" t="s">
        <v>48</v>
      </c>
      <c r="B36" s="41" t="s">
        <v>369</v>
      </c>
      <c r="C36" s="61" t="s">
        <v>392</v>
      </c>
      <c r="D36" s="42" t="s">
        <v>417</v>
      </c>
      <c r="E36" s="42" t="s">
        <v>453</v>
      </c>
      <c r="F36" s="43" t="s">
        <v>454</v>
      </c>
      <c r="G36" s="42">
        <v>2</v>
      </c>
      <c r="H36" s="43" t="s">
        <v>30</v>
      </c>
      <c r="I36" s="43" t="s">
        <v>38</v>
      </c>
      <c r="J36" s="43" t="s">
        <v>34</v>
      </c>
      <c r="K36" s="43" t="s">
        <v>358</v>
      </c>
      <c r="L36" s="43" t="s">
        <v>421</v>
      </c>
      <c r="M36" s="43" t="s">
        <v>351</v>
      </c>
      <c r="N36" s="43"/>
      <c r="O36" s="43"/>
      <c r="P36" s="43"/>
      <c r="Q36" s="43"/>
      <c r="R36" s="44"/>
      <c r="S36" s="43"/>
      <c r="T36" s="43"/>
      <c r="U36" s="43">
        <v>1</v>
      </c>
      <c r="V36" s="43"/>
      <c r="W36" s="43"/>
      <c r="X36" s="45"/>
      <c r="Y36" s="45"/>
      <c r="Z36" s="44">
        <f>IF(COUNTA(PlanTrabajo4[[#This Row],[ENE]:[DIC]])=0," ",(COUNTIF(PlanTrabajo4[[#This Row],[ENE]:[DIC]],"=2"))/(COUNTA(PlanTrabajo4[[#This Row],[ENE]:[DIC]])))</f>
        <v>0</v>
      </c>
      <c r="AA36" s="40" t="s">
        <v>399</v>
      </c>
    </row>
    <row r="37" spans="1:27" s="46" customFormat="1" ht="210" x14ac:dyDescent="0.25">
      <c r="A37" s="40" t="s">
        <v>48</v>
      </c>
      <c r="B37" s="41" t="s">
        <v>344</v>
      </c>
      <c r="C37" s="61" t="s">
        <v>331</v>
      </c>
      <c r="D37" s="42" t="s">
        <v>418</v>
      </c>
      <c r="E37" s="42" t="s">
        <v>455</v>
      </c>
      <c r="F37" s="43" t="s">
        <v>456</v>
      </c>
      <c r="G37" s="42">
        <v>2</v>
      </c>
      <c r="H37" s="43" t="s">
        <v>30</v>
      </c>
      <c r="I37" s="43" t="s">
        <v>38</v>
      </c>
      <c r="J37" s="43" t="s">
        <v>34</v>
      </c>
      <c r="K37" s="43" t="s">
        <v>358</v>
      </c>
      <c r="L37" s="43" t="s">
        <v>421</v>
      </c>
      <c r="M37" s="43" t="s">
        <v>351</v>
      </c>
      <c r="N37" s="43"/>
      <c r="O37" s="43"/>
      <c r="P37" s="43"/>
      <c r="Q37" s="43"/>
      <c r="R37" s="44"/>
      <c r="S37" s="43"/>
      <c r="T37" s="43"/>
      <c r="U37" s="43">
        <v>1</v>
      </c>
      <c r="V37" s="43"/>
      <c r="W37" s="43"/>
      <c r="X37" s="45"/>
      <c r="Y37" s="45"/>
      <c r="Z37" s="44">
        <f>IF(COUNTA(PlanTrabajo4[[#This Row],[ENE]:[DIC]])=0," ",(COUNTIF(PlanTrabajo4[[#This Row],[ENE]:[DIC]],"=2"))/(COUNTA(PlanTrabajo4[[#This Row],[ENE]:[DIC]])))</f>
        <v>0</v>
      </c>
      <c r="AA37" s="45"/>
    </row>
    <row r="38" spans="1:27" s="46" customFormat="1" ht="270" x14ac:dyDescent="0.25">
      <c r="A38" s="40" t="s">
        <v>48</v>
      </c>
      <c r="B38" s="41" t="s">
        <v>39</v>
      </c>
      <c r="C38" s="61" t="s">
        <v>327</v>
      </c>
      <c r="D38" s="42" t="s">
        <v>418</v>
      </c>
      <c r="E38" s="42" t="s">
        <v>457</v>
      </c>
      <c r="F38" s="43" t="s">
        <v>458</v>
      </c>
      <c r="G38" s="42">
        <v>2</v>
      </c>
      <c r="H38" s="43" t="s">
        <v>30</v>
      </c>
      <c r="I38" s="43" t="s">
        <v>38</v>
      </c>
      <c r="J38" s="43" t="s">
        <v>34</v>
      </c>
      <c r="K38" s="43" t="s">
        <v>358</v>
      </c>
      <c r="L38" s="43" t="s">
        <v>421</v>
      </c>
      <c r="M38" s="43" t="s">
        <v>351</v>
      </c>
      <c r="N38" s="43"/>
      <c r="O38" s="43"/>
      <c r="P38" s="43"/>
      <c r="Q38" s="43"/>
      <c r="R38" s="44"/>
      <c r="S38" s="43"/>
      <c r="T38" s="43"/>
      <c r="U38" s="43">
        <v>1</v>
      </c>
      <c r="V38" s="43"/>
      <c r="W38" s="43"/>
      <c r="X38" s="45"/>
      <c r="Y38" s="45"/>
      <c r="Z38" s="44">
        <f>IF(COUNTA(PlanTrabajo4[[#This Row],[ENE]:[DIC]])=0," ",(COUNTIF(PlanTrabajo4[[#This Row],[ENE]:[DIC]],"=2"))/(COUNTA(PlanTrabajo4[[#This Row],[ENE]:[DIC]])))</f>
        <v>0</v>
      </c>
      <c r="AA38" s="56"/>
    </row>
    <row r="39" spans="1:27" s="46" customFormat="1" ht="210" x14ac:dyDescent="0.25">
      <c r="A39" s="40" t="s">
        <v>48</v>
      </c>
      <c r="B39" s="41" t="s">
        <v>47</v>
      </c>
      <c r="C39" s="61" t="s">
        <v>333</v>
      </c>
      <c r="D39" s="42" t="s">
        <v>416</v>
      </c>
      <c r="E39" s="42" t="s">
        <v>459</v>
      </c>
      <c r="F39" s="43" t="s">
        <v>460</v>
      </c>
      <c r="G39" s="42">
        <v>2</v>
      </c>
      <c r="H39" s="43" t="s">
        <v>30</v>
      </c>
      <c r="I39" s="43" t="s">
        <v>38</v>
      </c>
      <c r="J39" s="43" t="s">
        <v>34</v>
      </c>
      <c r="K39" s="43" t="s">
        <v>358</v>
      </c>
      <c r="L39" s="43" t="s">
        <v>421</v>
      </c>
      <c r="M39" s="43" t="s">
        <v>351</v>
      </c>
      <c r="N39" s="43"/>
      <c r="O39" s="43"/>
      <c r="P39" s="43"/>
      <c r="Q39" s="43"/>
      <c r="R39" s="44"/>
      <c r="S39" s="43"/>
      <c r="T39" s="43"/>
      <c r="U39" s="43">
        <v>1</v>
      </c>
      <c r="V39" s="43"/>
      <c r="W39" s="43"/>
      <c r="X39" s="45"/>
      <c r="Y39" s="45"/>
      <c r="Z39" s="44">
        <f>IF(COUNTA(PlanTrabajo4[[#This Row],[ENE]:[DIC]])=0," ",(COUNTIF(PlanTrabajo4[[#This Row],[ENE]:[DIC]],"=2"))/(COUNTA(PlanTrabajo4[[#This Row],[ENE]:[DIC]])))</f>
        <v>0</v>
      </c>
      <c r="AA39" s="45"/>
    </row>
    <row r="40" spans="1:27" s="46" customFormat="1" ht="195" x14ac:dyDescent="0.25">
      <c r="A40" s="40" t="s">
        <v>48</v>
      </c>
      <c r="B40" s="41" t="s">
        <v>49</v>
      </c>
      <c r="C40" s="61" t="s">
        <v>342</v>
      </c>
      <c r="D40" s="42" t="s">
        <v>412</v>
      </c>
      <c r="E40" s="42" t="s">
        <v>461</v>
      </c>
      <c r="F40" s="43" t="s">
        <v>462</v>
      </c>
      <c r="G40" s="42">
        <v>2</v>
      </c>
      <c r="H40" s="43" t="s">
        <v>30</v>
      </c>
      <c r="I40" s="43" t="s">
        <v>38</v>
      </c>
      <c r="J40" s="43" t="s">
        <v>34</v>
      </c>
      <c r="K40" s="43" t="s">
        <v>358</v>
      </c>
      <c r="L40" s="43" t="s">
        <v>421</v>
      </c>
      <c r="M40" s="43" t="s">
        <v>351</v>
      </c>
      <c r="N40" s="43"/>
      <c r="O40" s="43"/>
      <c r="P40" s="43"/>
      <c r="Q40" s="43"/>
      <c r="R40" s="44"/>
      <c r="S40" s="43"/>
      <c r="T40" s="43"/>
      <c r="U40" s="43">
        <v>1</v>
      </c>
      <c r="V40" s="43"/>
      <c r="W40" s="43"/>
      <c r="X40" s="45"/>
      <c r="Y40" s="45"/>
      <c r="Z40" s="44">
        <f>IF(COUNTA(PlanTrabajo4[[#This Row],[ENE]:[DIC]])=0," ",(COUNTIF(PlanTrabajo4[[#This Row],[ENE]:[DIC]],"=2"))/(COUNTA(PlanTrabajo4[[#This Row],[ENE]:[DIC]])))</f>
        <v>0</v>
      </c>
      <c r="AA40" s="45"/>
    </row>
    <row r="41" spans="1:27" s="46" customFormat="1" ht="180" x14ac:dyDescent="0.25">
      <c r="A41" s="40" t="s">
        <v>48</v>
      </c>
      <c r="B41" s="41" t="s">
        <v>345</v>
      </c>
      <c r="C41" s="61" t="s">
        <v>335</v>
      </c>
      <c r="D41" s="42" t="s">
        <v>419</v>
      </c>
      <c r="E41" s="42" t="s">
        <v>463</v>
      </c>
      <c r="F41" s="43" t="s">
        <v>464</v>
      </c>
      <c r="G41" s="42">
        <v>2</v>
      </c>
      <c r="H41" s="43" t="s">
        <v>404</v>
      </c>
      <c r="I41" s="43" t="s">
        <v>405</v>
      </c>
      <c r="J41" s="43" t="s">
        <v>406</v>
      </c>
      <c r="K41" s="43" t="s">
        <v>358</v>
      </c>
      <c r="L41" s="43" t="s">
        <v>421</v>
      </c>
      <c r="M41" s="43" t="s">
        <v>351</v>
      </c>
      <c r="N41" s="43"/>
      <c r="O41" s="43"/>
      <c r="P41" s="43"/>
      <c r="Q41" s="43"/>
      <c r="R41" s="44"/>
      <c r="S41" s="43"/>
      <c r="T41" s="43"/>
      <c r="U41" s="43"/>
      <c r="V41" s="43">
        <v>1</v>
      </c>
      <c r="W41" s="43"/>
      <c r="X41" s="45"/>
      <c r="Y41" s="45"/>
      <c r="Z41" s="44">
        <f>IF(COUNTA(PlanTrabajo4[[#This Row],[ENE]:[DIC]])=0," ",(COUNTIF(PlanTrabajo4[[#This Row],[ENE]:[DIC]],"=2"))/(COUNTA(PlanTrabajo4[[#This Row],[ENE]:[DIC]])))</f>
        <v>0</v>
      </c>
      <c r="AA41" s="45"/>
    </row>
    <row r="42" spans="1:27" s="46" customFormat="1" ht="255" x14ac:dyDescent="0.25">
      <c r="A42" s="40" t="s">
        <v>48</v>
      </c>
      <c r="B42" s="41" t="s">
        <v>50</v>
      </c>
      <c r="C42" s="61" t="s">
        <v>341</v>
      </c>
      <c r="D42" s="42" t="s">
        <v>412</v>
      </c>
      <c r="E42" s="42" t="s">
        <v>465</v>
      </c>
      <c r="F42" s="43" t="s">
        <v>466</v>
      </c>
      <c r="G42" s="42">
        <v>2</v>
      </c>
      <c r="H42" s="43" t="s">
        <v>30</v>
      </c>
      <c r="I42" s="43" t="s">
        <v>38</v>
      </c>
      <c r="J42" s="43" t="s">
        <v>34</v>
      </c>
      <c r="K42" s="43" t="s">
        <v>358</v>
      </c>
      <c r="L42" s="43" t="s">
        <v>421</v>
      </c>
      <c r="M42" s="43" t="s">
        <v>351</v>
      </c>
      <c r="N42" s="43"/>
      <c r="O42" s="43"/>
      <c r="P42" s="43"/>
      <c r="Q42" s="43"/>
      <c r="R42" s="44"/>
      <c r="S42" s="43"/>
      <c r="T42" s="43"/>
      <c r="U42" s="43"/>
      <c r="V42" s="43">
        <v>1</v>
      </c>
      <c r="W42" s="43"/>
      <c r="X42" s="45"/>
      <c r="Y42" s="45"/>
      <c r="Z42" s="44">
        <f>IF(COUNTA(PlanTrabajo4[[#This Row],[ENE]:[DIC]])=0," ",(COUNTIF(PlanTrabajo4[[#This Row],[ENE]:[DIC]],"=2"))/(COUNTA(PlanTrabajo4[[#This Row],[ENE]:[DIC]])))</f>
        <v>0</v>
      </c>
      <c r="AA42" s="45"/>
    </row>
    <row r="43" spans="1:27" s="46" customFormat="1" ht="225" x14ac:dyDescent="0.25">
      <c r="A43" s="40" t="s">
        <v>48</v>
      </c>
      <c r="B43" s="41" t="s">
        <v>55</v>
      </c>
      <c r="C43" s="61" t="s">
        <v>387</v>
      </c>
      <c r="D43" s="42" t="s">
        <v>412</v>
      </c>
      <c r="E43" s="42" t="s">
        <v>515</v>
      </c>
      <c r="F43" s="43" t="s">
        <v>516</v>
      </c>
      <c r="G43" s="42">
        <v>2</v>
      </c>
      <c r="H43" s="43" t="s">
        <v>30</v>
      </c>
      <c r="I43" s="43" t="s">
        <v>38</v>
      </c>
      <c r="J43" s="43" t="s">
        <v>34</v>
      </c>
      <c r="K43" s="43" t="s">
        <v>358</v>
      </c>
      <c r="L43" s="43" t="s">
        <v>421</v>
      </c>
      <c r="M43" s="43" t="s">
        <v>351</v>
      </c>
      <c r="N43" s="43"/>
      <c r="O43" s="43"/>
      <c r="P43" s="43"/>
      <c r="Q43" s="43"/>
      <c r="R43" s="44"/>
      <c r="S43" s="43"/>
      <c r="T43" s="43"/>
      <c r="U43" s="43"/>
      <c r="V43" s="43">
        <v>1</v>
      </c>
      <c r="W43" s="43"/>
      <c r="X43" s="45"/>
      <c r="Y43" s="45"/>
      <c r="Z43" s="44">
        <f>IF(COUNTA(PlanTrabajo4[[#This Row],[ENE]:[DIC]])=0," ",(COUNTIF(PlanTrabajo4[[#This Row],[ENE]:[DIC]],"=2"))/(COUNTA(PlanTrabajo4[[#This Row],[ENE]:[DIC]])))</f>
        <v>0</v>
      </c>
      <c r="AA43" s="45"/>
    </row>
    <row r="44" spans="1:27" s="46" customFormat="1" ht="165" x14ac:dyDescent="0.25">
      <c r="A44" s="40" t="s">
        <v>48</v>
      </c>
      <c r="B44" s="41" t="s">
        <v>345</v>
      </c>
      <c r="C44" s="61" t="s">
        <v>339</v>
      </c>
      <c r="D44" s="42" t="s">
        <v>419</v>
      </c>
      <c r="E44" s="42" t="s">
        <v>467</v>
      </c>
      <c r="F44" s="43" t="s">
        <v>489</v>
      </c>
      <c r="G44" s="42">
        <v>2</v>
      </c>
      <c r="H44" s="43" t="s">
        <v>37</v>
      </c>
      <c r="I44" s="43" t="s">
        <v>38</v>
      </c>
      <c r="J44" s="43" t="s">
        <v>34</v>
      </c>
      <c r="K44" s="43" t="s">
        <v>358</v>
      </c>
      <c r="L44" s="43" t="s">
        <v>421</v>
      </c>
      <c r="M44" s="43" t="s">
        <v>351</v>
      </c>
      <c r="N44" s="43"/>
      <c r="O44" s="43"/>
      <c r="P44" s="43"/>
      <c r="Q44" s="43"/>
      <c r="R44" s="44"/>
      <c r="S44" s="43"/>
      <c r="T44" s="43"/>
      <c r="U44" s="43"/>
      <c r="V44" s="43">
        <v>1</v>
      </c>
      <c r="W44" s="43"/>
      <c r="X44" s="45"/>
      <c r="Y44" s="45"/>
      <c r="Z44" s="44">
        <f>IF(COUNTA(PlanTrabajo4[[#This Row],[ENE]:[DIC]])=0," ",(COUNTIF(PlanTrabajo4[[#This Row],[ENE]:[DIC]],"=2"))/(COUNTA(PlanTrabajo4[[#This Row],[ENE]:[DIC]])))</f>
        <v>0</v>
      </c>
      <c r="AA44" s="45"/>
    </row>
    <row r="45" spans="1:27" s="46" customFormat="1" ht="180" x14ac:dyDescent="0.25">
      <c r="A45" s="40" t="s">
        <v>48</v>
      </c>
      <c r="B45" s="41" t="s">
        <v>353</v>
      </c>
      <c r="C45" s="61" t="s">
        <v>526</v>
      </c>
      <c r="D45" s="42" t="s">
        <v>43</v>
      </c>
      <c r="E45" s="42" t="s">
        <v>468</v>
      </c>
      <c r="F45" s="43" t="s">
        <v>490</v>
      </c>
      <c r="G45" s="42">
        <v>2</v>
      </c>
      <c r="H45" s="43" t="s">
        <v>30</v>
      </c>
      <c r="I45" s="43" t="s">
        <v>38</v>
      </c>
      <c r="J45" s="43" t="s">
        <v>34</v>
      </c>
      <c r="K45" s="43" t="s">
        <v>358</v>
      </c>
      <c r="L45" s="43" t="s">
        <v>421</v>
      </c>
      <c r="M45" s="43" t="s">
        <v>351</v>
      </c>
      <c r="N45" s="43"/>
      <c r="O45" s="43"/>
      <c r="P45" s="43"/>
      <c r="Q45" s="43"/>
      <c r="R45" s="44"/>
      <c r="S45" s="43"/>
      <c r="T45" s="43"/>
      <c r="U45" s="43"/>
      <c r="V45" s="43">
        <v>1</v>
      </c>
      <c r="W45" s="43"/>
      <c r="X45" s="45"/>
      <c r="Y45" s="45"/>
      <c r="Z45" s="44">
        <f>IF(COUNTA(PlanTrabajo4[[#This Row],[ENE]:[DIC]])=0," ",(COUNTIF(PlanTrabajo4[[#This Row],[ENE]:[DIC]],"=2"))/(COUNTA(PlanTrabajo4[[#This Row],[ENE]:[DIC]])))</f>
        <v>0</v>
      </c>
      <c r="AA45" s="45"/>
    </row>
    <row r="46" spans="1:27" s="46" customFormat="1" ht="180" x14ac:dyDescent="0.25">
      <c r="A46" s="40" t="s">
        <v>48</v>
      </c>
      <c r="B46" s="41" t="s">
        <v>344</v>
      </c>
      <c r="C46" s="61" t="s">
        <v>389</v>
      </c>
      <c r="D46" s="42" t="s">
        <v>409</v>
      </c>
      <c r="E46" s="42" t="s">
        <v>469</v>
      </c>
      <c r="F46" s="43" t="s">
        <v>491</v>
      </c>
      <c r="G46" s="42">
        <v>2</v>
      </c>
      <c r="H46" s="43" t="s">
        <v>30</v>
      </c>
      <c r="I46" s="43" t="s">
        <v>38</v>
      </c>
      <c r="J46" s="43" t="s">
        <v>34</v>
      </c>
      <c r="K46" s="43" t="s">
        <v>358</v>
      </c>
      <c r="L46" s="43" t="s">
        <v>421</v>
      </c>
      <c r="M46" s="43" t="s">
        <v>351</v>
      </c>
      <c r="N46" s="43"/>
      <c r="O46" s="43"/>
      <c r="P46" s="43"/>
      <c r="Q46" s="43"/>
      <c r="R46" s="44"/>
      <c r="S46" s="43"/>
      <c r="T46" s="43"/>
      <c r="U46" s="43"/>
      <c r="V46" s="43"/>
      <c r="W46" s="43">
        <v>1</v>
      </c>
      <c r="X46" s="45"/>
      <c r="Y46" s="45"/>
      <c r="Z46" s="44">
        <f>IF(COUNTA(PlanTrabajo4[[#This Row],[ENE]:[DIC]])=0," ",(COUNTIF(PlanTrabajo4[[#This Row],[ENE]:[DIC]],"=2"))/(COUNTA(PlanTrabajo4[[#This Row],[ENE]:[DIC]])))</f>
        <v>0</v>
      </c>
      <c r="AA46" s="45"/>
    </row>
    <row r="47" spans="1:27" s="46" customFormat="1" ht="165" x14ac:dyDescent="0.25">
      <c r="A47" s="40" t="s">
        <v>48</v>
      </c>
      <c r="B47" s="41" t="s">
        <v>46</v>
      </c>
      <c r="C47" s="61" t="s">
        <v>334</v>
      </c>
      <c r="D47" s="42" t="s">
        <v>419</v>
      </c>
      <c r="E47" s="42" t="s">
        <v>517</v>
      </c>
      <c r="F47" s="43" t="s">
        <v>492</v>
      </c>
      <c r="G47" s="42">
        <v>2</v>
      </c>
      <c r="H47" s="43" t="s">
        <v>30</v>
      </c>
      <c r="I47" s="43" t="s">
        <v>38</v>
      </c>
      <c r="J47" s="43" t="s">
        <v>34</v>
      </c>
      <c r="K47" s="43" t="s">
        <v>358</v>
      </c>
      <c r="L47" s="43" t="s">
        <v>421</v>
      </c>
      <c r="M47" s="43" t="s">
        <v>351</v>
      </c>
      <c r="N47" s="43"/>
      <c r="O47" s="43"/>
      <c r="P47" s="43"/>
      <c r="Q47" s="43"/>
      <c r="R47" s="43"/>
      <c r="S47" s="43"/>
      <c r="T47" s="43"/>
      <c r="U47" s="43"/>
      <c r="V47" s="43"/>
      <c r="W47" s="43">
        <v>1</v>
      </c>
      <c r="X47" s="45"/>
      <c r="Y47" s="45"/>
      <c r="Z47" s="44">
        <f>IF(COUNTA(PlanTrabajo4[[#This Row],[ENE]:[DIC]])=0," ",(COUNTIF(PlanTrabajo4[[#This Row],[ENE]:[DIC]],"=2"))/(COUNTA(PlanTrabajo4[[#This Row],[ENE]:[DIC]])))</f>
        <v>0</v>
      </c>
      <c r="AA47" s="40" t="s">
        <v>399</v>
      </c>
    </row>
    <row r="48" spans="1:27" s="46" customFormat="1" ht="165" x14ac:dyDescent="0.25">
      <c r="A48" s="40" t="s">
        <v>48</v>
      </c>
      <c r="B48" s="41" t="s">
        <v>49</v>
      </c>
      <c r="C48" s="61" t="s">
        <v>338</v>
      </c>
      <c r="D48" s="42" t="s">
        <v>412</v>
      </c>
      <c r="E48" s="42" t="s">
        <v>470</v>
      </c>
      <c r="F48" s="43" t="s">
        <v>493</v>
      </c>
      <c r="G48" s="42">
        <v>2</v>
      </c>
      <c r="H48" s="43" t="s">
        <v>30</v>
      </c>
      <c r="I48" s="43" t="s">
        <v>38</v>
      </c>
      <c r="J48" s="43" t="s">
        <v>34</v>
      </c>
      <c r="K48" s="43" t="s">
        <v>358</v>
      </c>
      <c r="L48" s="43" t="s">
        <v>421</v>
      </c>
      <c r="M48" s="43" t="s">
        <v>351</v>
      </c>
      <c r="N48" s="43"/>
      <c r="O48" s="43"/>
      <c r="P48" s="43"/>
      <c r="Q48" s="43"/>
      <c r="R48" s="44"/>
      <c r="S48" s="43"/>
      <c r="T48" s="43"/>
      <c r="U48" s="43"/>
      <c r="V48" s="43"/>
      <c r="W48" s="43">
        <v>1</v>
      </c>
      <c r="X48" s="45"/>
      <c r="Y48" s="45"/>
      <c r="Z48" s="44">
        <f>IF(COUNTA(PlanTrabajo4[[#This Row],[ENE]:[DIC]])=0," ",(COUNTIF(PlanTrabajo4[[#This Row],[ENE]:[DIC]],"=2"))/(COUNTA(PlanTrabajo4[[#This Row],[ENE]:[DIC]])))</f>
        <v>0</v>
      </c>
      <c r="AA48" s="45"/>
    </row>
    <row r="49" spans="1:27" s="46" customFormat="1" ht="165" x14ac:dyDescent="0.25">
      <c r="A49" s="40" t="s">
        <v>48</v>
      </c>
      <c r="B49" s="41" t="s">
        <v>50</v>
      </c>
      <c r="C49" s="61" t="s">
        <v>336</v>
      </c>
      <c r="D49" s="42" t="s">
        <v>412</v>
      </c>
      <c r="E49" s="42" t="s">
        <v>471</v>
      </c>
      <c r="F49" s="43" t="s">
        <v>494</v>
      </c>
      <c r="G49" s="42">
        <v>2</v>
      </c>
      <c r="H49" s="43" t="s">
        <v>30</v>
      </c>
      <c r="I49" s="43" t="s">
        <v>38</v>
      </c>
      <c r="J49" s="43" t="s">
        <v>34</v>
      </c>
      <c r="K49" s="43" t="s">
        <v>358</v>
      </c>
      <c r="L49" s="43" t="s">
        <v>421</v>
      </c>
      <c r="M49" s="43" t="s">
        <v>351</v>
      </c>
      <c r="N49" s="43"/>
      <c r="O49" s="43"/>
      <c r="P49" s="43"/>
      <c r="Q49" s="43"/>
      <c r="R49" s="44"/>
      <c r="S49" s="43"/>
      <c r="T49" s="43"/>
      <c r="U49" s="43"/>
      <c r="V49" s="43"/>
      <c r="W49" s="43">
        <v>1</v>
      </c>
      <c r="X49" s="45"/>
      <c r="Y49" s="45"/>
      <c r="Z49" s="44">
        <f>IF(COUNTA(PlanTrabajo4[[#This Row],[ENE]:[DIC]])=0," ",(COUNTIF(PlanTrabajo4[[#This Row],[ENE]:[DIC]],"=2"))/(COUNTA(PlanTrabajo4[[#This Row],[ENE]:[DIC]])))</f>
        <v>0</v>
      </c>
      <c r="AA49" s="45"/>
    </row>
    <row r="50" spans="1:27" s="46" customFormat="1" ht="180" x14ac:dyDescent="0.25">
      <c r="A50" s="40" t="s">
        <v>354</v>
      </c>
      <c r="B50" s="41" t="s">
        <v>347</v>
      </c>
      <c r="C50" s="61" t="s">
        <v>337</v>
      </c>
      <c r="D50" s="42" t="s">
        <v>419</v>
      </c>
      <c r="E50" s="42" t="s">
        <v>518</v>
      </c>
      <c r="F50" s="43" t="s">
        <v>495</v>
      </c>
      <c r="G50" s="42">
        <v>2</v>
      </c>
      <c r="H50" s="43" t="s">
        <v>407</v>
      </c>
      <c r="I50" s="43" t="s">
        <v>38</v>
      </c>
      <c r="J50" s="43" t="s">
        <v>34</v>
      </c>
      <c r="K50" s="43" t="s">
        <v>358</v>
      </c>
      <c r="L50" s="43" t="s">
        <v>421</v>
      </c>
      <c r="M50" s="43" t="s">
        <v>351</v>
      </c>
      <c r="N50" s="43"/>
      <c r="O50" s="43"/>
      <c r="P50" s="43"/>
      <c r="Q50" s="43"/>
      <c r="R50" s="44"/>
      <c r="S50" s="43"/>
      <c r="T50" s="43"/>
      <c r="U50" s="41"/>
      <c r="V50" s="43"/>
      <c r="W50" s="43"/>
      <c r="X50" s="45">
        <v>1</v>
      </c>
      <c r="Y50" s="45"/>
      <c r="Z50" s="44">
        <f>IF(COUNTA(PlanTrabajo4[[#This Row],[ENE]:[DIC]])=0," ",(COUNTIF(PlanTrabajo4[[#This Row],[ENE]:[DIC]],"=2"))/(COUNTA(PlanTrabajo4[[#This Row],[ENE]:[DIC]])))</f>
        <v>0</v>
      </c>
      <c r="AA50" s="56" t="s">
        <v>525</v>
      </c>
    </row>
    <row r="51" spans="1:27" s="46" customFormat="1" ht="165" x14ac:dyDescent="0.25">
      <c r="A51" s="40" t="s">
        <v>48</v>
      </c>
      <c r="B51" s="41" t="s">
        <v>39</v>
      </c>
      <c r="C51" s="61" t="s">
        <v>388</v>
      </c>
      <c r="D51" s="42" t="s">
        <v>419</v>
      </c>
      <c r="E51" s="42" t="s">
        <v>472</v>
      </c>
      <c r="F51" s="43" t="s">
        <v>496</v>
      </c>
      <c r="G51" s="42">
        <v>3</v>
      </c>
      <c r="H51" s="43" t="s">
        <v>37</v>
      </c>
      <c r="I51" s="43" t="s">
        <v>38</v>
      </c>
      <c r="J51" s="43" t="s">
        <v>34</v>
      </c>
      <c r="K51" s="43" t="s">
        <v>358</v>
      </c>
      <c r="L51" s="43" t="s">
        <v>421</v>
      </c>
      <c r="M51" s="43" t="s">
        <v>351</v>
      </c>
      <c r="N51" s="43"/>
      <c r="O51" s="43"/>
      <c r="P51" s="43"/>
      <c r="Q51" s="43"/>
      <c r="R51" s="44"/>
      <c r="S51" s="43"/>
      <c r="T51" s="43"/>
      <c r="U51" s="43"/>
      <c r="V51" s="43"/>
      <c r="W51" s="43"/>
      <c r="X51" s="45">
        <v>1</v>
      </c>
      <c r="Y51" s="45"/>
      <c r="Z51" s="44">
        <f>IF(COUNTA(PlanTrabajo4[[#This Row],[ENE]:[DIC]])=0," ",(COUNTIF(PlanTrabajo4[[#This Row],[ENE]:[DIC]],"=2"))/(COUNTA(PlanTrabajo4[[#This Row],[ENE]:[DIC]])))</f>
        <v>0</v>
      </c>
      <c r="AA51" s="40" t="s">
        <v>399</v>
      </c>
    </row>
    <row r="52" spans="1:27" ht="165" x14ac:dyDescent="0.25">
      <c r="A52" s="40" t="s">
        <v>48</v>
      </c>
      <c r="B52" s="41" t="s">
        <v>46</v>
      </c>
      <c r="C52" s="61" t="s">
        <v>340</v>
      </c>
      <c r="D52" s="42" t="s">
        <v>412</v>
      </c>
      <c r="E52" s="42" t="s">
        <v>473</v>
      </c>
      <c r="F52" s="43" t="s">
        <v>497</v>
      </c>
      <c r="G52" s="42">
        <v>2</v>
      </c>
      <c r="H52" s="43" t="s">
        <v>30</v>
      </c>
      <c r="I52" s="43" t="s">
        <v>38</v>
      </c>
      <c r="J52" s="43" t="s">
        <v>34</v>
      </c>
      <c r="K52" s="43" t="s">
        <v>358</v>
      </c>
      <c r="L52" s="43" t="s">
        <v>421</v>
      </c>
      <c r="M52" s="43" t="s">
        <v>351</v>
      </c>
      <c r="N52" s="43"/>
      <c r="O52" s="43"/>
      <c r="P52" s="43"/>
      <c r="Q52" s="43"/>
      <c r="R52" s="44"/>
      <c r="S52" s="43"/>
      <c r="T52" s="43"/>
      <c r="U52" s="43"/>
      <c r="V52" s="43"/>
      <c r="W52" s="43"/>
      <c r="X52" s="43">
        <v>1</v>
      </c>
      <c r="Y52" s="45"/>
      <c r="Z52" s="44">
        <f>IF(COUNTA(PlanTrabajo4[[#This Row],[ENE]:[DIC]])=0," ",(COUNTIF(PlanTrabajo4[[#This Row],[ENE]:[DIC]],"=2"))/(COUNTA(PlanTrabajo4[[#This Row],[ENE]:[DIC]])))</f>
        <v>0</v>
      </c>
      <c r="AA52" s="45"/>
    </row>
    <row r="53" spans="1:27" ht="90" x14ac:dyDescent="0.25">
      <c r="A53" s="50" t="s">
        <v>479</v>
      </c>
      <c r="B53" s="54" t="s">
        <v>45</v>
      </c>
      <c r="C53" s="62" t="s">
        <v>478</v>
      </c>
      <c r="D53" s="51" t="s">
        <v>326</v>
      </c>
      <c r="E53" s="51" t="s">
        <v>477</v>
      </c>
      <c r="F53" s="51" t="s">
        <v>482</v>
      </c>
      <c r="G53" s="51">
        <v>2</v>
      </c>
      <c r="H53" s="43" t="s">
        <v>30</v>
      </c>
      <c r="I53" s="43" t="s">
        <v>38</v>
      </c>
      <c r="J53" s="43" t="s">
        <v>34</v>
      </c>
      <c r="K53" s="43" t="s">
        <v>358</v>
      </c>
      <c r="L53" s="43" t="s">
        <v>421</v>
      </c>
      <c r="M53" s="43" t="s">
        <v>480</v>
      </c>
      <c r="N53" s="51"/>
      <c r="O53" s="51"/>
      <c r="P53" s="51"/>
      <c r="Q53" s="51"/>
      <c r="R53" s="51"/>
      <c r="S53" s="51"/>
      <c r="T53" s="51"/>
      <c r="U53" s="51"/>
      <c r="V53" s="51"/>
      <c r="W53" s="51"/>
      <c r="X53" s="43"/>
      <c r="Y53" s="43">
        <v>1</v>
      </c>
      <c r="Z53" s="52">
        <f>IF(COUNTA(PlanTrabajo4[[#This Row],[ENE]:[DIC]])=0," ",(COUNTIF(PlanTrabajo4[[#This Row],[ENE]:[DIC]],"=2"))/(COUNTA(PlanTrabajo4[[#This Row],[ENE]:[DIC]])))</f>
        <v>0</v>
      </c>
      <c r="AA53" s="53"/>
    </row>
    <row r="54" spans="1:27" x14ac:dyDescent="0.25">
      <c r="K54" s="49"/>
      <c r="L54" s="49"/>
      <c r="M54" s="49"/>
      <c r="N54" s="49"/>
      <c r="O54" s="49"/>
      <c r="P54" s="49"/>
      <c r="Q54" s="49"/>
      <c r="R54" s="49"/>
      <c r="S54" s="49"/>
      <c r="T54" s="49"/>
      <c r="U54" s="49"/>
      <c r="V54" s="49"/>
    </row>
    <row r="55" spans="1:27" x14ac:dyDescent="0.25">
      <c r="K55" s="49"/>
      <c r="L55" s="49"/>
      <c r="M55" s="49"/>
      <c r="N55" s="49"/>
      <c r="O55" s="49"/>
      <c r="P55" s="49"/>
      <c r="Q55" s="49"/>
      <c r="R55" s="49"/>
      <c r="S55" s="49"/>
      <c r="T55" s="49"/>
      <c r="U55" s="49"/>
      <c r="V55" s="49"/>
    </row>
    <row r="56" spans="1:27" x14ac:dyDescent="0.25">
      <c r="K56" s="49"/>
      <c r="L56" s="49"/>
      <c r="M56" s="49"/>
      <c r="N56" s="49"/>
      <c r="O56" s="49"/>
      <c r="P56" s="49"/>
      <c r="Q56" s="49"/>
      <c r="R56" s="49"/>
      <c r="S56" s="49"/>
      <c r="T56" s="49"/>
      <c r="U56" s="49"/>
      <c r="V56" s="49"/>
    </row>
    <row r="57" spans="1:27" x14ac:dyDescent="0.25">
      <c r="K57" s="49"/>
      <c r="L57" s="49"/>
      <c r="M57" s="49"/>
      <c r="N57" s="49"/>
      <c r="O57" s="49"/>
      <c r="P57" s="49"/>
      <c r="Q57" s="49"/>
      <c r="R57" s="49"/>
      <c r="S57" s="49"/>
      <c r="T57" s="49"/>
      <c r="U57" s="49"/>
      <c r="V57" s="49"/>
    </row>
    <row r="58" spans="1:27" x14ac:dyDescent="0.25">
      <c r="K58" s="49"/>
      <c r="L58" s="49"/>
      <c r="M58" s="49"/>
      <c r="N58" s="49"/>
      <c r="O58" s="49"/>
      <c r="P58" s="49"/>
      <c r="Q58" s="49"/>
      <c r="R58" s="49"/>
      <c r="S58" s="49"/>
      <c r="T58" s="49"/>
      <c r="U58" s="49"/>
      <c r="V58" s="49"/>
    </row>
    <row r="59" spans="1:27" x14ac:dyDescent="0.25">
      <c r="K59" s="49"/>
      <c r="L59" s="49"/>
      <c r="M59" s="49"/>
      <c r="N59" s="49"/>
      <c r="O59" s="49"/>
      <c r="P59" s="49"/>
      <c r="Q59" s="49"/>
      <c r="R59" s="49"/>
      <c r="S59" s="49"/>
      <c r="T59" s="49"/>
      <c r="U59" s="49"/>
      <c r="V59" s="49"/>
    </row>
    <row r="60" spans="1:27" x14ac:dyDescent="0.25">
      <c r="K60" s="49"/>
      <c r="L60" s="49"/>
      <c r="M60" s="49"/>
      <c r="N60" s="49"/>
      <c r="O60" s="49"/>
      <c r="P60" s="49"/>
      <c r="Q60" s="49"/>
      <c r="R60" s="49"/>
      <c r="S60" s="49"/>
      <c r="T60" s="49"/>
      <c r="U60" s="49"/>
      <c r="V60" s="49"/>
    </row>
    <row r="61" spans="1:27" x14ac:dyDescent="0.25">
      <c r="K61" s="49"/>
      <c r="L61" s="49"/>
      <c r="M61" s="49"/>
      <c r="N61" s="49"/>
      <c r="O61" s="49"/>
      <c r="P61" s="49"/>
      <c r="Q61" s="49"/>
      <c r="R61" s="49"/>
      <c r="S61" s="49"/>
      <c r="T61" s="49"/>
      <c r="U61" s="49"/>
      <c r="V61" s="49"/>
    </row>
    <row r="62" spans="1:27" x14ac:dyDescent="0.25">
      <c r="K62" s="49"/>
      <c r="L62" s="49"/>
      <c r="M62" s="49"/>
      <c r="N62" s="49"/>
      <c r="O62" s="49"/>
      <c r="P62" s="49"/>
      <c r="Q62" s="49"/>
      <c r="R62" s="49"/>
      <c r="S62" s="49"/>
      <c r="T62" s="49"/>
      <c r="U62" s="49"/>
      <c r="V62" s="49"/>
    </row>
    <row r="63" spans="1:27" x14ac:dyDescent="0.25">
      <c r="K63" s="49"/>
      <c r="L63" s="49"/>
      <c r="M63" s="49"/>
      <c r="N63" s="49"/>
      <c r="O63" s="49"/>
      <c r="P63" s="49"/>
      <c r="Q63" s="49"/>
      <c r="R63" s="49"/>
      <c r="S63" s="49"/>
      <c r="T63" s="49"/>
      <c r="U63" s="49"/>
      <c r="V63" s="49"/>
    </row>
    <row r="64" spans="1:27" x14ac:dyDescent="0.25">
      <c r="K64" s="49"/>
      <c r="L64" s="49"/>
      <c r="M64" s="49"/>
      <c r="N64" s="49"/>
      <c r="O64" s="49"/>
      <c r="P64" s="49"/>
      <c r="Q64" s="49"/>
      <c r="R64" s="49"/>
      <c r="S64" s="49"/>
      <c r="T64" s="49"/>
      <c r="U64" s="49"/>
      <c r="V64" s="49"/>
    </row>
    <row r="65" spans="3:22" x14ac:dyDescent="0.25">
      <c r="K65" s="49"/>
      <c r="L65" s="49"/>
      <c r="M65" s="49"/>
      <c r="N65" s="49"/>
      <c r="O65" s="49"/>
      <c r="P65" s="49"/>
      <c r="Q65" s="49"/>
      <c r="R65" s="49"/>
      <c r="S65" s="49"/>
      <c r="T65" s="49"/>
      <c r="U65" s="49"/>
      <c r="V65" s="49"/>
    </row>
    <row r="66" spans="3:22" x14ac:dyDescent="0.25">
      <c r="K66" s="49"/>
      <c r="L66" s="49"/>
      <c r="M66" s="49"/>
      <c r="N66" s="49"/>
      <c r="O66" s="49"/>
      <c r="P66" s="49"/>
      <c r="Q66" s="49"/>
      <c r="R66" s="49"/>
      <c r="S66" s="49"/>
      <c r="T66" s="49"/>
      <c r="U66" s="49"/>
      <c r="V66" s="49"/>
    </row>
    <row r="67" spans="3:22" x14ac:dyDescent="0.25">
      <c r="K67" s="49"/>
      <c r="L67" s="49"/>
      <c r="M67" s="49"/>
      <c r="N67" s="49"/>
      <c r="O67" s="49"/>
      <c r="P67" s="49"/>
      <c r="Q67" s="49"/>
      <c r="R67" s="49"/>
      <c r="S67" s="49"/>
      <c r="T67" s="49"/>
      <c r="U67" s="49"/>
      <c r="V67" s="49"/>
    </row>
    <row r="68" spans="3:22" x14ac:dyDescent="0.25">
      <c r="C68" s="57"/>
      <c r="K68" s="49"/>
      <c r="L68" s="49"/>
      <c r="M68" s="49"/>
      <c r="N68" s="49"/>
      <c r="O68" s="49"/>
      <c r="P68" s="49"/>
      <c r="Q68" s="49"/>
      <c r="R68" s="49"/>
      <c r="S68" s="49"/>
      <c r="T68" s="49"/>
      <c r="U68" s="49"/>
      <c r="V68" s="49"/>
    </row>
    <row r="69" spans="3:22" x14ac:dyDescent="0.25">
      <c r="K69" s="49"/>
      <c r="L69" s="49"/>
      <c r="M69" s="49"/>
      <c r="N69" s="49"/>
      <c r="O69" s="49"/>
      <c r="P69" s="49"/>
      <c r="Q69" s="49"/>
      <c r="R69" s="49"/>
      <c r="S69" s="49"/>
      <c r="T69" s="49"/>
      <c r="U69" s="49"/>
      <c r="V69" s="49"/>
    </row>
    <row r="70" spans="3:22" x14ac:dyDescent="0.25">
      <c r="K70" s="49"/>
      <c r="L70" s="49"/>
      <c r="M70" s="49"/>
      <c r="N70" s="49"/>
      <c r="O70" s="49"/>
      <c r="P70" s="49"/>
      <c r="Q70" s="49"/>
      <c r="R70" s="49"/>
      <c r="S70" s="49"/>
      <c r="T70" s="49"/>
      <c r="U70" s="49"/>
      <c r="V70" s="49"/>
    </row>
    <row r="71" spans="3:22" x14ac:dyDescent="0.25">
      <c r="K71" s="49"/>
      <c r="L71" s="49"/>
      <c r="M71" s="49"/>
      <c r="N71" s="49"/>
      <c r="O71" s="49"/>
      <c r="P71" s="49"/>
      <c r="Q71" s="49"/>
      <c r="R71" s="49"/>
      <c r="S71" s="49"/>
      <c r="T71" s="49"/>
      <c r="U71" s="49"/>
      <c r="V71" s="49"/>
    </row>
    <row r="72" spans="3:22" x14ac:dyDescent="0.25">
      <c r="K72" s="49"/>
      <c r="L72" s="49"/>
      <c r="M72" s="49"/>
      <c r="N72" s="49"/>
      <c r="O72" s="49"/>
      <c r="P72" s="49"/>
      <c r="Q72" s="49"/>
      <c r="R72" s="49"/>
      <c r="S72" s="49"/>
      <c r="T72" s="49"/>
      <c r="U72" s="49"/>
      <c r="V72" s="49"/>
    </row>
    <row r="73" spans="3:22" x14ac:dyDescent="0.25">
      <c r="K73" s="49"/>
      <c r="L73" s="49"/>
      <c r="M73" s="49"/>
      <c r="N73" s="49"/>
      <c r="O73" s="49"/>
      <c r="P73" s="49"/>
      <c r="Q73" s="49"/>
      <c r="R73" s="49"/>
      <c r="S73" s="49"/>
      <c r="T73" s="49"/>
      <c r="U73" s="49"/>
      <c r="V73" s="49"/>
    </row>
    <row r="74" spans="3:22" x14ac:dyDescent="0.25">
      <c r="K74" s="49"/>
      <c r="L74" s="49"/>
      <c r="M74" s="49"/>
      <c r="N74" s="49"/>
      <c r="O74" s="49"/>
      <c r="P74" s="49"/>
      <c r="Q74" s="49"/>
      <c r="R74" s="49"/>
      <c r="S74" s="49"/>
      <c r="T74" s="49"/>
      <c r="U74" s="49"/>
      <c r="V74" s="49"/>
    </row>
    <row r="75" spans="3:22" x14ac:dyDescent="0.25">
      <c r="K75" s="49"/>
      <c r="L75" s="49"/>
      <c r="M75" s="49"/>
      <c r="N75" s="49"/>
      <c r="O75" s="49"/>
      <c r="P75" s="49"/>
      <c r="Q75" s="49"/>
      <c r="R75" s="49"/>
      <c r="S75" s="49"/>
      <c r="T75" s="49"/>
      <c r="U75" s="49"/>
      <c r="V75" s="49"/>
    </row>
    <row r="76" spans="3:22" x14ac:dyDescent="0.25">
      <c r="K76" s="49"/>
      <c r="L76" s="49"/>
      <c r="M76" s="49"/>
      <c r="N76" s="49"/>
      <c r="O76" s="49"/>
      <c r="P76" s="49"/>
      <c r="Q76" s="49"/>
      <c r="R76" s="49"/>
      <c r="S76" s="49"/>
      <c r="T76" s="49"/>
      <c r="U76" s="49"/>
      <c r="V76" s="49"/>
    </row>
    <row r="77" spans="3:22" x14ac:dyDescent="0.25">
      <c r="K77" s="49"/>
      <c r="L77" s="49"/>
      <c r="M77" s="49"/>
      <c r="N77" s="49"/>
      <c r="O77" s="49"/>
      <c r="P77" s="49"/>
      <c r="Q77" s="49"/>
      <c r="R77" s="49"/>
      <c r="S77" s="49"/>
      <c r="T77" s="49"/>
      <c r="U77" s="49"/>
      <c r="V77" s="49"/>
    </row>
    <row r="78" spans="3:22" x14ac:dyDescent="0.25">
      <c r="K78" s="49"/>
      <c r="L78" s="49"/>
      <c r="M78" s="49"/>
      <c r="N78" s="49"/>
      <c r="O78" s="49"/>
      <c r="P78" s="49"/>
      <c r="Q78" s="49"/>
      <c r="R78" s="49"/>
      <c r="S78" s="49"/>
      <c r="T78" s="49"/>
      <c r="U78" s="49"/>
      <c r="V78" s="49"/>
    </row>
    <row r="79" spans="3:22" x14ac:dyDescent="0.25">
      <c r="K79" s="49"/>
      <c r="L79" s="49"/>
      <c r="M79" s="49"/>
      <c r="N79" s="49"/>
      <c r="O79" s="49"/>
      <c r="P79" s="49"/>
      <c r="Q79" s="49"/>
      <c r="R79" s="49"/>
      <c r="S79" s="49"/>
      <c r="T79" s="49"/>
      <c r="U79" s="49"/>
      <c r="V79" s="49"/>
    </row>
    <row r="80" spans="3:22" x14ac:dyDescent="0.25">
      <c r="K80" s="49"/>
      <c r="L80" s="49"/>
      <c r="M80" s="49"/>
      <c r="N80" s="49"/>
      <c r="O80" s="49"/>
      <c r="P80" s="49"/>
      <c r="Q80" s="49"/>
      <c r="R80" s="49"/>
      <c r="S80" s="49"/>
      <c r="T80" s="49"/>
      <c r="U80" s="49"/>
      <c r="V80" s="49"/>
    </row>
    <row r="81" spans="11:22" x14ac:dyDescent="0.25">
      <c r="K81" s="49"/>
      <c r="L81" s="49"/>
      <c r="M81" s="49"/>
      <c r="N81" s="49"/>
      <c r="O81" s="49"/>
      <c r="P81" s="49"/>
      <c r="Q81" s="49"/>
      <c r="R81" s="49"/>
      <c r="S81" s="49"/>
      <c r="T81" s="49"/>
      <c r="U81" s="49"/>
      <c r="V81" s="49"/>
    </row>
    <row r="82" spans="11:22" x14ac:dyDescent="0.25">
      <c r="K82" s="49"/>
      <c r="L82" s="49"/>
      <c r="M82" s="49"/>
      <c r="N82" s="49"/>
      <c r="O82" s="49"/>
      <c r="P82" s="49"/>
      <c r="Q82" s="49"/>
      <c r="R82" s="49"/>
      <c r="S82" s="49"/>
      <c r="T82" s="49"/>
      <c r="U82" s="49"/>
      <c r="V82" s="49"/>
    </row>
    <row r="83" spans="11:22" x14ac:dyDescent="0.25">
      <c r="K83" s="49"/>
      <c r="L83" s="49"/>
      <c r="M83" s="49"/>
      <c r="N83" s="49"/>
      <c r="O83" s="49"/>
      <c r="P83" s="49"/>
      <c r="Q83" s="49"/>
      <c r="R83" s="49"/>
      <c r="S83" s="49"/>
      <c r="T83" s="49"/>
      <c r="U83" s="49"/>
      <c r="V83" s="49"/>
    </row>
    <row r="84" spans="11:22" x14ac:dyDescent="0.25">
      <c r="K84" s="49"/>
      <c r="L84" s="49"/>
      <c r="M84" s="49"/>
      <c r="N84" s="49"/>
      <c r="O84" s="49"/>
      <c r="P84" s="49"/>
      <c r="Q84" s="49"/>
      <c r="R84" s="49"/>
      <c r="S84" s="49"/>
      <c r="T84" s="49"/>
      <c r="U84" s="49"/>
      <c r="V84" s="49"/>
    </row>
    <row r="85" spans="11:22" x14ac:dyDescent="0.25">
      <c r="K85" s="49"/>
      <c r="L85" s="49"/>
      <c r="M85" s="49"/>
      <c r="N85" s="49"/>
      <c r="O85" s="49"/>
      <c r="P85" s="49"/>
      <c r="Q85" s="49"/>
      <c r="R85" s="49"/>
      <c r="S85" s="49"/>
      <c r="T85" s="49"/>
      <c r="U85" s="49"/>
      <c r="V85" s="49"/>
    </row>
    <row r="86" spans="11:22" x14ac:dyDescent="0.25">
      <c r="K86" s="49"/>
      <c r="L86" s="49"/>
      <c r="M86" s="49"/>
      <c r="N86" s="49"/>
      <c r="O86" s="49"/>
      <c r="P86" s="49"/>
      <c r="Q86" s="49"/>
      <c r="R86" s="49"/>
      <c r="S86" s="49"/>
      <c r="T86" s="49"/>
      <c r="U86" s="49"/>
      <c r="V86" s="49"/>
    </row>
    <row r="87" spans="11:22" x14ac:dyDescent="0.25">
      <c r="K87" s="49"/>
      <c r="L87" s="49"/>
      <c r="M87" s="49"/>
      <c r="N87" s="49"/>
      <c r="O87" s="49"/>
      <c r="P87" s="49"/>
      <c r="Q87" s="49"/>
      <c r="R87" s="49"/>
      <c r="S87" s="49"/>
      <c r="T87" s="49"/>
      <c r="U87" s="49"/>
      <c r="V87" s="49"/>
    </row>
    <row r="88" spans="11:22" x14ac:dyDescent="0.25">
      <c r="K88" s="49"/>
      <c r="L88" s="49"/>
      <c r="M88" s="49"/>
      <c r="N88" s="49"/>
      <c r="O88" s="49"/>
      <c r="P88" s="49"/>
      <c r="Q88" s="49"/>
      <c r="R88" s="49"/>
      <c r="S88" s="49"/>
      <c r="T88" s="49"/>
      <c r="U88" s="49"/>
      <c r="V88" s="49"/>
    </row>
    <row r="89" spans="11:22" x14ac:dyDescent="0.25">
      <c r="K89" s="49"/>
      <c r="L89" s="49"/>
      <c r="M89" s="49"/>
      <c r="N89" s="49"/>
      <c r="O89" s="49"/>
      <c r="P89" s="49"/>
      <c r="Q89" s="49"/>
      <c r="R89" s="49"/>
      <c r="S89" s="49"/>
      <c r="T89" s="49"/>
      <c r="U89" s="49"/>
      <c r="V89" s="49"/>
    </row>
    <row r="90" spans="11:22" x14ac:dyDescent="0.25">
      <c r="K90" s="49"/>
      <c r="L90" s="49"/>
      <c r="M90" s="49"/>
      <c r="N90" s="49"/>
      <c r="O90" s="49"/>
      <c r="P90" s="49"/>
      <c r="Q90" s="49"/>
      <c r="R90" s="49"/>
      <c r="S90" s="49"/>
      <c r="T90" s="49"/>
      <c r="U90" s="49"/>
      <c r="V90" s="49"/>
    </row>
    <row r="91" spans="11:22" x14ac:dyDescent="0.25">
      <c r="K91" s="49"/>
      <c r="L91" s="49"/>
      <c r="M91" s="49"/>
      <c r="N91" s="49"/>
      <c r="O91" s="49"/>
      <c r="P91" s="49"/>
      <c r="Q91" s="49"/>
      <c r="R91" s="49"/>
      <c r="S91" s="49"/>
      <c r="T91" s="49"/>
      <c r="U91" s="49"/>
      <c r="V91" s="49"/>
    </row>
    <row r="92" spans="11:22" x14ac:dyDescent="0.25">
      <c r="K92" s="49"/>
      <c r="L92" s="49"/>
      <c r="M92" s="49"/>
      <c r="N92" s="49"/>
      <c r="O92" s="49"/>
      <c r="P92" s="49"/>
      <c r="Q92" s="49"/>
      <c r="R92" s="49"/>
      <c r="S92" s="49"/>
      <c r="T92" s="49"/>
      <c r="U92" s="49"/>
      <c r="V92" s="49"/>
    </row>
    <row r="93" spans="11:22" x14ac:dyDescent="0.25">
      <c r="K93" s="49"/>
      <c r="L93" s="49"/>
      <c r="M93" s="49"/>
      <c r="N93" s="49"/>
      <c r="O93" s="49"/>
      <c r="P93" s="49"/>
      <c r="Q93" s="49"/>
      <c r="R93" s="49"/>
      <c r="S93" s="49"/>
      <c r="T93" s="49"/>
      <c r="U93" s="49"/>
      <c r="V93" s="49"/>
    </row>
    <row r="94" spans="11:22" x14ac:dyDescent="0.25">
      <c r="K94" s="49"/>
      <c r="L94" s="49"/>
      <c r="M94" s="49"/>
      <c r="N94" s="49"/>
      <c r="O94" s="49"/>
      <c r="P94" s="49"/>
      <c r="Q94" s="49"/>
      <c r="R94" s="49"/>
      <c r="S94" s="49"/>
      <c r="T94" s="49"/>
      <c r="U94" s="49"/>
      <c r="V94" s="49"/>
    </row>
    <row r="95" spans="11:22" x14ac:dyDescent="0.25">
      <c r="K95" s="49"/>
      <c r="L95" s="49"/>
      <c r="M95" s="49"/>
      <c r="N95" s="49"/>
      <c r="O95" s="49"/>
      <c r="P95" s="49"/>
      <c r="Q95" s="49"/>
      <c r="R95" s="49"/>
      <c r="S95" s="49"/>
      <c r="T95" s="49"/>
      <c r="U95" s="49"/>
      <c r="V95" s="49"/>
    </row>
    <row r="96" spans="11:22" x14ac:dyDescent="0.25">
      <c r="K96" s="49"/>
      <c r="L96" s="49"/>
      <c r="M96" s="49"/>
      <c r="N96" s="49"/>
      <c r="O96" s="49"/>
      <c r="P96" s="49"/>
      <c r="Q96" s="49"/>
      <c r="R96" s="49"/>
      <c r="S96" s="49"/>
      <c r="T96" s="49"/>
      <c r="U96" s="49"/>
      <c r="V96" s="49"/>
    </row>
    <row r="97" spans="11:22" x14ac:dyDescent="0.25">
      <c r="K97" s="49"/>
      <c r="L97" s="49"/>
      <c r="M97" s="49"/>
      <c r="N97" s="49"/>
      <c r="O97" s="49"/>
      <c r="P97" s="49"/>
      <c r="Q97" s="49"/>
      <c r="R97" s="49"/>
      <c r="S97" s="49"/>
      <c r="T97" s="49"/>
      <c r="U97" s="49"/>
      <c r="V97" s="49"/>
    </row>
    <row r="98" spans="11:22" x14ac:dyDescent="0.25">
      <c r="K98" s="49"/>
      <c r="L98" s="49"/>
      <c r="M98" s="49"/>
      <c r="N98" s="49"/>
      <c r="O98" s="49"/>
      <c r="P98" s="49"/>
      <c r="Q98" s="49"/>
      <c r="R98" s="49"/>
      <c r="S98" s="49"/>
      <c r="T98" s="49"/>
      <c r="U98" s="49"/>
      <c r="V98" s="49"/>
    </row>
    <row r="99" spans="11:22" x14ac:dyDescent="0.25">
      <c r="K99" s="49"/>
      <c r="L99" s="49"/>
      <c r="M99" s="49"/>
      <c r="N99" s="49"/>
      <c r="O99" s="49"/>
      <c r="P99" s="49"/>
      <c r="Q99" s="49"/>
      <c r="R99" s="49"/>
      <c r="S99" s="49"/>
      <c r="T99" s="49"/>
      <c r="U99" s="49"/>
      <c r="V99" s="49"/>
    </row>
    <row r="100" spans="11:22" x14ac:dyDescent="0.25">
      <c r="K100" s="49"/>
      <c r="L100" s="49"/>
      <c r="M100" s="49"/>
      <c r="N100" s="49"/>
      <c r="O100" s="49"/>
      <c r="P100" s="49"/>
      <c r="Q100" s="49"/>
      <c r="R100" s="49"/>
      <c r="S100" s="49"/>
      <c r="T100" s="49"/>
      <c r="U100" s="49"/>
      <c r="V100" s="49"/>
    </row>
    <row r="101" spans="11:22" x14ac:dyDescent="0.25">
      <c r="K101" s="49"/>
      <c r="L101" s="49"/>
      <c r="M101" s="49"/>
      <c r="N101" s="49"/>
      <c r="O101" s="49"/>
      <c r="P101" s="49"/>
      <c r="Q101" s="49"/>
      <c r="R101" s="49"/>
      <c r="S101" s="49"/>
      <c r="T101" s="49"/>
      <c r="U101" s="49"/>
      <c r="V101" s="49"/>
    </row>
    <row r="102" spans="11:22" x14ac:dyDescent="0.25">
      <c r="K102" s="49"/>
      <c r="L102" s="49"/>
      <c r="M102" s="49"/>
      <c r="N102" s="49"/>
      <c r="O102" s="49"/>
      <c r="P102" s="49"/>
      <c r="Q102" s="49"/>
      <c r="R102" s="49"/>
      <c r="S102" s="49"/>
      <c r="T102" s="49"/>
      <c r="U102" s="49"/>
      <c r="V102" s="49"/>
    </row>
    <row r="103" spans="11:22" x14ac:dyDescent="0.25">
      <c r="K103" s="49"/>
      <c r="L103" s="49"/>
      <c r="M103" s="49"/>
      <c r="N103" s="49"/>
      <c r="O103" s="49"/>
      <c r="P103" s="49"/>
      <c r="Q103" s="49"/>
      <c r="R103" s="49"/>
      <c r="S103" s="49"/>
      <c r="T103" s="49"/>
      <c r="U103" s="49"/>
      <c r="V103" s="49"/>
    </row>
    <row r="104" spans="11:22" x14ac:dyDescent="0.25">
      <c r="K104" s="49"/>
      <c r="L104" s="49"/>
      <c r="M104" s="49"/>
      <c r="N104" s="49"/>
      <c r="O104" s="49"/>
      <c r="P104" s="49"/>
      <c r="Q104" s="49"/>
      <c r="R104" s="49"/>
      <c r="S104" s="49"/>
      <c r="T104" s="49"/>
      <c r="U104" s="49"/>
      <c r="V104" s="49"/>
    </row>
    <row r="105" spans="11:22" x14ac:dyDescent="0.25">
      <c r="K105" s="49"/>
      <c r="L105" s="49"/>
      <c r="M105" s="49"/>
      <c r="N105" s="49"/>
      <c r="O105" s="49"/>
      <c r="P105" s="49"/>
      <c r="Q105" s="49"/>
      <c r="R105" s="49"/>
      <c r="S105" s="49"/>
      <c r="T105" s="49"/>
      <c r="U105" s="49"/>
      <c r="V105" s="49"/>
    </row>
    <row r="106" spans="11:22" x14ac:dyDescent="0.25">
      <c r="K106" s="49"/>
      <c r="L106" s="49"/>
      <c r="M106" s="49"/>
      <c r="N106" s="49"/>
      <c r="O106" s="49"/>
      <c r="P106" s="49"/>
      <c r="Q106" s="49"/>
      <c r="R106" s="49"/>
      <c r="S106" s="49"/>
      <c r="T106" s="49"/>
      <c r="U106" s="49"/>
      <c r="V106" s="49"/>
    </row>
    <row r="107" spans="11:22" x14ac:dyDescent="0.25">
      <c r="K107" s="49"/>
      <c r="L107" s="49"/>
      <c r="M107" s="49"/>
      <c r="N107" s="49"/>
      <c r="O107" s="49"/>
      <c r="P107" s="49"/>
      <c r="Q107" s="49"/>
      <c r="R107" s="49"/>
      <c r="S107" s="49"/>
      <c r="T107" s="49"/>
      <c r="U107" s="49"/>
      <c r="V107" s="49"/>
    </row>
    <row r="108" spans="11:22" x14ac:dyDescent="0.25">
      <c r="K108" s="49"/>
      <c r="L108" s="49"/>
      <c r="M108" s="49"/>
      <c r="N108" s="49"/>
      <c r="O108" s="49"/>
      <c r="P108" s="49"/>
      <c r="Q108" s="49"/>
      <c r="R108" s="49"/>
      <c r="S108" s="49"/>
      <c r="T108" s="49"/>
      <c r="U108" s="49"/>
      <c r="V108" s="49"/>
    </row>
    <row r="109" spans="11:22" x14ac:dyDescent="0.25">
      <c r="K109" s="49"/>
      <c r="L109" s="49"/>
      <c r="M109" s="49"/>
      <c r="N109" s="49"/>
      <c r="O109" s="49"/>
      <c r="P109" s="49"/>
      <c r="Q109" s="49"/>
      <c r="R109" s="49"/>
      <c r="S109" s="49"/>
      <c r="T109" s="49"/>
      <c r="U109" s="49"/>
      <c r="V109" s="49"/>
    </row>
    <row r="110" spans="11:22" x14ac:dyDescent="0.25">
      <c r="K110" s="49"/>
      <c r="L110" s="49"/>
      <c r="M110" s="49"/>
      <c r="N110" s="49"/>
      <c r="O110" s="49"/>
      <c r="P110" s="49"/>
      <c r="Q110" s="49"/>
      <c r="R110" s="49"/>
      <c r="S110" s="49"/>
      <c r="T110" s="49"/>
      <c r="U110" s="49"/>
      <c r="V110" s="49"/>
    </row>
    <row r="111" spans="11:22" x14ac:dyDescent="0.25">
      <c r="K111" s="49"/>
      <c r="L111" s="49"/>
      <c r="M111" s="49"/>
      <c r="N111" s="49"/>
      <c r="O111" s="49"/>
      <c r="P111" s="49"/>
      <c r="Q111" s="49"/>
      <c r="R111" s="49"/>
      <c r="S111" s="49"/>
      <c r="T111" s="49"/>
      <c r="U111" s="49"/>
      <c r="V111" s="49"/>
    </row>
    <row r="112" spans="11:22" x14ac:dyDescent="0.25">
      <c r="K112" s="49"/>
      <c r="L112" s="49"/>
      <c r="M112" s="49"/>
      <c r="N112" s="49"/>
      <c r="O112" s="49"/>
      <c r="P112" s="49"/>
      <c r="Q112" s="49"/>
      <c r="R112" s="49"/>
      <c r="S112" s="49"/>
      <c r="T112" s="49"/>
      <c r="U112" s="49"/>
      <c r="V112" s="49"/>
    </row>
    <row r="113" spans="11:22" x14ac:dyDescent="0.25">
      <c r="K113" s="49"/>
      <c r="L113" s="49"/>
      <c r="M113" s="49"/>
      <c r="N113" s="49"/>
      <c r="O113" s="49"/>
      <c r="P113" s="49"/>
      <c r="Q113" s="49"/>
      <c r="R113" s="49"/>
      <c r="S113" s="49"/>
      <c r="T113" s="49"/>
      <c r="U113" s="49"/>
      <c r="V113" s="49"/>
    </row>
    <row r="114" spans="11:22" x14ac:dyDescent="0.25">
      <c r="K114" s="49"/>
      <c r="L114" s="49"/>
      <c r="M114" s="49"/>
      <c r="N114" s="49"/>
      <c r="O114" s="49"/>
      <c r="P114" s="49"/>
      <c r="Q114" s="49"/>
      <c r="R114" s="49"/>
      <c r="S114" s="49"/>
      <c r="T114" s="49"/>
      <c r="U114" s="49"/>
      <c r="V114" s="49"/>
    </row>
    <row r="115" spans="11:22" x14ac:dyDescent="0.25">
      <c r="K115" s="49"/>
      <c r="L115" s="49"/>
      <c r="M115" s="49"/>
      <c r="N115" s="49"/>
      <c r="O115" s="49"/>
      <c r="P115" s="49"/>
      <c r="Q115" s="49"/>
      <c r="R115" s="49"/>
      <c r="S115" s="49"/>
      <c r="T115" s="49"/>
      <c r="U115" s="49"/>
      <c r="V115" s="49"/>
    </row>
    <row r="116" spans="11:22" x14ac:dyDescent="0.25">
      <c r="K116" s="49"/>
      <c r="L116" s="49"/>
      <c r="M116" s="49"/>
      <c r="N116" s="49"/>
      <c r="O116" s="49"/>
      <c r="P116" s="49"/>
      <c r="Q116" s="49"/>
      <c r="R116" s="49"/>
      <c r="S116" s="49"/>
      <c r="T116" s="49"/>
      <c r="U116" s="49"/>
      <c r="V116" s="49"/>
    </row>
    <row r="117" spans="11:22" x14ac:dyDescent="0.25">
      <c r="K117" s="49"/>
      <c r="L117" s="49"/>
      <c r="M117" s="49"/>
      <c r="N117" s="49"/>
      <c r="O117" s="49"/>
      <c r="P117" s="49"/>
      <c r="Q117" s="49"/>
      <c r="R117" s="49"/>
      <c r="S117" s="49"/>
      <c r="T117" s="49"/>
      <c r="U117" s="49"/>
      <c r="V117" s="49"/>
    </row>
    <row r="118" spans="11:22" x14ac:dyDescent="0.25">
      <c r="K118" s="49"/>
      <c r="L118" s="49"/>
      <c r="M118" s="49"/>
      <c r="N118" s="49"/>
      <c r="O118" s="49"/>
      <c r="P118" s="49"/>
      <c r="Q118" s="49"/>
      <c r="R118" s="49"/>
      <c r="S118" s="49"/>
      <c r="T118" s="49"/>
      <c r="U118" s="49"/>
      <c r="V118" s="49"/>
    </row>
    <row r="119" spans="11:22" x14ac:dyDescent="0.25">
      <c r="K119" s="49"/>
      <c r="L119" s="49"/>
      <c r="M119" s="49"/>
      <c r="N119" s="49"/>
      <c r="O119" s="49"/>
      <c r="P119" s="49"/>
      <c r="Q119" s="49"/>
      <c r="R119" s="49"/>
      <c r="S119" s="49"/>
      <c r="T119" s="49"/>
      <c r="U119" s="49"/>
      <c r="V119" s="49"/>
    </row>
    <row r="120" spans="11:22" x14ac:dyDescent="0.25">
      <c r="K120" s="49"/>
      <c r="L120" s="49"/>
      <c r="M120" s="49"/>
      <c r="N120" s="49"/>
      <c r="O120" s="49"/>
      <c r="P120" s="49"/>
      <c r="Q120" s="49"/>
      <c r="R120" s="49"/>
      <c r="S120" s="49"/>
      <c r="T120" s="49"/>
      <c r="U120" s="49"/>
      <c r="V120" s="49"/>
    </row>
    <row r="121" spans="11:22" x14ac:dyDescent="0.25">
      <c r="K121" s="49"/>
      <c r="L121" s="49"/>
      <c r="M121" s="49"/>
      <c r="N121" s="49"/>
      <c r="O121" s="49"/>
      <c r="P121" s="49"/>
      <c r="Q121" s="49"/>
      <c r="R121" s="49"/>
      <c r="S121" s="49"/>
      <c r="T121" s="49"/>
      <c r="U121" s="49"/>
      <c r="V121" s="49"/>
    </row>
    <row r="122" spans="11:22" x14ac:dyDescent="0.25">
      <c r="K122" s="49"/>
      <c r="L122" s="49"/>
      <c r="M122" s="49"/>
      <c r="N122" s="49"/>
      <c r="O122" s="49"/>
      <c r="P122" s="49"/>
      <c r="Q122" s="49"/>
      <c r="R122" s="49"/>
      <c r="S122" s="49"/>
      <c r="T122" s="49"/>
      <c r="U122" s="49"/>
      <c r="V122" s="49"/>
    </row>
    <row r="123" spans="11:22" x14ac:dyDescent="0.25">
      <c r="K123" s="49"/>
      <c r="L123" s="49"/>
      <c r="M123" s="49"/>
      <c r="N123" s="49"/>
      <c r="O123" s="49"/>
      <c r="P123" s="49"/>
      <c r="Q123" s="49"/>
      <c r="R123" s="49"/>
      <c r="S123" s="49"/>
      <c r="T123" s="49"/>
      <c r="U123" s="49"/>
      <c r="V123" s="49"/>
    </row>
    <row r="124" spans="11:22" x14ac:dyDescent="0.25">
      <c r="K124" s="49"/>
      <c r="L124" s="49"/>
      <c r="M124" s="49"/>
      <c r="N124" s="49"/>
      <c r="O124" s="49"/>
      <c r="P124" s="49"/>
      <c r="Q124" s="49"/>
      <c r="R124" s="49"/>
      <c r="S124" s="49"/>
      <c r="T124" s="49"/>
      <c r="U124" s="49"/>
      <c r="V124" s="49"/>
    </row>
    <row r="125" spans="11:22" x14ac:dyDescent="0.25">
      <c r="K125" s="49"/>
      <c r="L125" s="49"/>
      <c r="M125" s="49"/>
      <c r="N125" s="49"/>
      <c r="O125" s="49"/>
      <c r="P125" s="49"/>
      <c r="Q125" s="49"/>
      <c r="R125" s="49"/>
      <c r="S125" s="49"/>
      <c r="T125" s="49"/>
      <c r="U125" s="49"/>
      <c r="V125" s="49"/>
    </row>
    <row r="126" spans="11:22" x14ac:dyDescent="0.25">
      <c r="K126" s="49"/>
      <c r="L126" s="49"/>
      <c r="M126" s="49"/>
      <c r="N126" s="49"/>
      <c r="O126" s="49"/>
      <c r="P126" s="49"/>
      <c r="Q126" s="49"/>
      <c r="R126" s="49"/>
      <c r="S126" s="49"/>
      <c r="T126" s="49"/>
      <c r="U126" s="49"/>
      <c r="V126" s="49"/>
    </row>
    <row r="127" spans="11:22" x14ac:dyDescent="0.25">
      <c r="K127" s="49"/>
      <c r="L127" s="49"/>
      <c r="M127" s="49"/>
      <c r="N127" s="49"/>
      <c r="O127" s="49"/>
      <c r="P127" s="49"/>
      <c r="Q127" s="49"/>
      <c r="R127" s="49"/>
      <c r="S127" s="49"/>
      <c r="T127" s="49"/>
      <c r="U127" s="49"/>
      <c r="V127" s="49"/>
    </row>
  </sheetData>
  <mergeCells count="2">
    <mergeCell ref="A1:B3"/>
    <mergeCell ref="C1:Z3"/>
  </mergeCells>
  <phoneticPr fontId="10" type="noConversion"/>
  <conditionalFormatting sqref="Y54:Y519">
    <cfRule type="dataBar" priority="5523">
      <dataBar>
        <cfvo type="min"/>
        <cfvo type="max"/>
        <color rgb="FFF6B400"/>
      </dataBar>
      <extLst>
        <ext xmlns:x14="http://schemas.microsoft.com/office/spreadsheetml/2009/9/main" uri="{B025F937-C7B1-47D3-B67F-A62EFF666E3E}">
          <x14:id>{89900D6A-39FA-4C1A-8266-1303DABC102A}</x14:id>
        </ext>
      </extLst>
    </cfRule>
    <cfRule type="expression" dxfId="1" priority="5529">
      <formula>AND($Y53=0,$Y53&lt;&gt;"")</formula>
    </cfRule>
    <cfRule type="dataBar" priority="5530">
      <dataBar>
        <cfvo type="min"/>
        <cfvo type="max"/>
        <color theme="4" tint="0.39997558519241921"/>
      </dataBar>
      <extLst>
        <ext xmlns:x14="http://schemas.microsoft.com/office/spreadsheetml/2009/9/main" uri="{B025F937-C7B1-47D3-B67F-A62EFF666E3E}">
          <x14:id>{07776A68-6BC2-46FC-B980-D53F4227C70C}</x14:id>
        </ext>
      </extLst>
    </cfRule>
  </conditionalFormatting>
  <dataValidations count="1">
    <dataValidation type="list" allowBlank="1" showInputMessage="1" showErrorMessage="1" sqref="Z52:Z185 Y54:Y185" xr:uid="{FEA1CC56-DE1C-480F-B381-31AD60CB8BB4}">
      <formula1>"0%, 25%, 50%, 75%, 100%"</formula1>
    </dataValidation>
  </dataValidations>
  <pageMargins left="0.7" right="0.7" top="0.75" bottom="0.75" header="0.3" footer="0.3"/>
  <pageSetup paperSize="9" scale="11"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89900D6A-39FA-4C1A-8266-1303DABC102A}">
            <x14:dataBar minLength="0" maxLength="100" gradient="0">
              <x14:cfvo type="autoMin"/>
              <x14:cfvo type="autoMax"/>
              <x14:negativeFillColor rgb="FFFF0000"/>
              <x14:axisColor rgb="FF000000"/>
            </x14:dataBar>
          </x14:cfRule>
          <x14:cfRule type="dataBar" id="{07776A68-6BC2-46FC-B980-D53F4227C70C}">
            <x14:dataBar minLength="0" maxLength="100" gradient="0">
              <x14:cfvo type="autoMin"/>
              <x14:cfvo type="autoMax"/>
              <x14:negativeFillColor rgb="FFFF0000"/>
              <x14:axisColor rgb="FF000000"/>
            </x14:dataBar>
          </x14:cfRule>
          <xm:sqref>Y54:Y519</xm:sqref>
        </x14:conditionalFormatting>
        <x14:conditionalFormatting xmlns:xm="http://schemas.microsoft.com/office/excel/2006/main">
          <x14:cfRule type="iconSet" priority="2" id="{C07E9C97-963B-4C18-80FA-804C059C9445}">
            <x14:iconSet iconSet="3Triangles" showValue="0">
              <x14:cfvo type="percent">
                <xm:f>0</xm:f>
              </x14:cfvo>
              <x14:cfvo type="num">
                <xm:f>1</xm:f>
              </x14:cfvo>
              <x14:cfvo type="num">
                <xm:f>2</xm:f>
              </x14:cfvo>
            </x14:iconSet>
          </x14:cfRule>
          <xm:sqref>X53</xm:sqref>
        </x14:conditionalFormatting>
        <x14:conditionalFormatting xmlns:xm="http://schemas.microsoft.com/office/excel/2006/main">
          <x14:cfRule type="iconSet" priority="1" id="{2EF8830F-D43B-4E22-A73F-C9BB6786E4CC}">
            <x14:iconSet iconSet="3Triangles" showValue="0">
              <x14:cfvo type="percent">
                <xm:f>0</xm:f>
              </x14:cfvo>
              <x14:cfvo type="num">
                <xm:f>1</xm:f>
              </x14:cfvo>
              <x14:cfvo type="num">
                <xm:f>2</xm:f>
              </x14:cfvo>
            </x14:iconSet>
          </x14:cfRule>
          <xm:sqref>Y53</xm:sqref>
        </x14:conditionalFormatting>
        <x14:conditionalFormatting xmlns:xm="http://schemas.microsoft.com/office/excel/2006/main">
          <x14:cfRule type="iconSet" priority="5669" id="{393FCA63-6421-4F45-B902-68B9AF52DBD3}">
            <x14:iconSet iconSet="3Triangles" showValue="0">
              <x14:cfvo type="percent">
                <xm:f>0</xm:f>
              </x14:cfvo>
              <x14:cfvo type="num">
                <xm:f>1</xm:f>
              </x14:cfvo>
              <x14:cfvo type="num">
                <xm:f>2</xm:f>
              </x14:cfvo>
            </x14:iconSet>
          </x14:cfRule>
          <xm:sqref>N5:Y52</xm:sqref>
        </x14:conditionalFormatting>
      </x14:conditionalFormattings>
    </ext>
    <ext xmlns:x14="http://schemas.microsoft.com/office/spreadsheetml/2009/9/main" uri="{CCE6A557-97BC-4b89-ADB6-D9C93CAAB3DF}">
      <x14:dataValidations xmlns:xm="http://schemas.microsoft.com/office/excel/2006/main" count="22">
        <x14:dataValidation type="list" allowBlank="1" showInputMessage="1" showErrorMessage="1" xr:uid="{A4110B94-CE13-45FA-B536-2EE47ACD6361}">
          <x14:formula1>
            <xm:f>VALD!$I$2:$I$25</xm:f>
          </x14:formula1>
          <xm:sqref>W52:W561 X54:X561</xm:sqref>
        </x14:dataValidation>
        <x14:dataValidation type="list" allowBlank="1" showInputMessage="1" showErrorMessage="1" xr:uid="{E7B94349-292A-4BF7-9329-16A7CA372EBE}">
          <x14:formula1>
            <xm:f>VALID_2!$E$41:$E$44</xm:f>
          </x14:formula1>
          <xm:sqref>M19:M20 M14 M22:M24 M54:M1048576 M27:M52</xm:sqref>
        </x14:dataValidation>
        <x14:dataValidation type="list" allowBlank="1" showInputMessage="1" showErrorMessage="1" xr:uid="{43B03618-ADCE-4A0D-98FC-E5565195F060}">
          <x14:formula1>
            <xm:f>VALD!$O$3:$O$5</xm:f>
          </x14:formula1>
          <xm:sqref>X52:Y53 N5:Y51</xm:sqref>
        </x14:dataValidation>
        <x14:dataValidation type="list" allowBlank="1" showInputMessage="1" showErrorMessage="1" xr:uid="{C1A8863E-AE6A-472B-97AA-BA878B7C883D}">
          <x14:formula1>
            <xm:f>VALID_2!$F$41:$F$66</xm:f>
          </x14:formula1>
          <xm:sqref>A54:A1048576 A5:A52</xm:sqref>
        </x14:dataValidation>
        <x14:dataValidation type="list" allowBlank="1" showInputMessage="1" showErrorMessage="1" xr:uid="{4577BAFC-3200-47E7-AA72-94F1AA2BB0B1}">
          <x14:formula1>
            <xm:f>VALID_2!$F$42:$F$60</xm:f>
          </x14:formula1>
          <xm:sqref>A53</xm:sqref>
        </x14:dataValidation>
        <x14:dataValidation type="list" allowBlank="1" showInputMessage="1" showErrorMessage="1" xr:uid="{62D6859B-2A17-4530-A279-7375CE29F783}">
          <x14:formula1>
            <xm:f>VALID_2!$E$41:$E$51</xm:f>
          </x14:formula1>
          <xm:sqref>M53</xm:sqref>
        </x14:dataValidation>
        <x14:dataValidation type="list" allowBlank="1" showInputMessage="1" showErrorMessage="1" xr:uid="{69380946-A57A-48F1-B195-7D7665ED6DAC}">
          <x14:formula1>
            <xm:f>VALID_2!$E$41:$E$65</xm:f>
          </x14:formula1>
          <xm:sqref>M5:M26</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B51759F3-8FD7-45C5-B954-02A12F31DFD5}">
          <x14:formula1>
            <xm:f>'m1'!J19</xm:f>
          </x14:formula1>
          <xm:sqref>Z26</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9C2D7A0A-10D6-4CCB-8F91-7F410CE9916B}">
          <x14:formula1>
            <xm:f>'m1'!J14</xm:f>
          </x14:formula1>
          <xm:sqref>Z25</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C2556ED2-E956-4CC6-888A-834CC125C6ED}">
          <x14:formula1>
            <xm:f>'m1'!J11</xm:f>
          </x14:formula1>
          <xm:sqref>Z21 Z13</xm:sqref>
        </x14:dataValidation>
        <x14:dataValidation type="list" allowBlank="1" showInputMessage="1" showErrorMessage="1" xr:uid="{B7FAE035-4CF1-431A-B167-35FB2131E8F8}">
          <x14:formula1>
            <xm:f>VALID_2!$B$43:$B$102</xm:f>
          </x14:formula1>
          <xm:sqref>B5:B1048576</xm:sqref>
        </x14:dataValidation>
        <x14:dataValidation type="list" allowBlank="1" showInputMessage="1" showErrorMessage="1" xr:uid="{BD855656-1FA8-445D-BCF4-EF32F8743781}">
          <x14:formula1>
            <xm:f>DASHBOARD!$O$2</xm:f>
          </x14:formula1>
          <xm:sqref>L5:L1048576</xm:sqref>
        </x14:dataValidation>
        <x14:dataValidation type="list" allowBlank="1" showInputMessage="1" showErrorMessage="1" xr:uid="{8CB07F46-4D3C-4378-8E7D-06E9ACBB8C2C}">
          <x14:formula1>
            <xm:f>VALID_2!$B$75:$B$219</xm:f>
          </x14:formula1>
          <xm:sqref>D5:D1048576</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93922503-AD2C-42D0-9C92-2E301FA8E416}">
          <x14:formula1>
            <xm:f>'m1'!J5</xm:f>
          </x14:formula1>
          <xm:sqref>Z11</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2F607EDC-BF13-4929-B450-357206F504BA}">
          <x14:formula1>
            <xm:f>'m1'!J3</xm:f>
          </x14:formula1>
          <xm:sqref>Z4:Z5</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A3870CB6-AAA9-43CE-850E-820770462A0A}">
          <x14:formula1>
            <xm:f>'m1'!J12</xm:f>
          </x14:formula1>
          <xm:sqref>Z17:Z18</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CDB6868C-B859-4158-8014-246571EBD50D}">
          <x14:formula1>
            <xm:f>'m1'!J4</xm:f>
          </x14:formula1>
          <xm:sqref>Z19:Z20</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57907D40-BBC4-4FA4-A3A9-E2F49E670CE0}">
          <x14:formula1>
            <xm:f>'m1'!J6</xm:f>
          </x14:formula1>
          <xm:sqref>Z15:Z16</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EB067D20-DFCB-466C-962E-B5D060D80589}">
          <x14:formula1>
            <xm:f>'m1'!J9</xm:f>
          </x14:formula1>
          <xm:sqref>Z12</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88CF1CB2-1AFD-440A-94A6-CA7F93EBB937}">
          <x14:formula1>
            <xm:f>'m1'!J20</xm:f>
          </x14:formula1>
          <xm:sqref>Z9</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F86B1379-41A8-4103-843F-040FB357A75C}">
          <x14:formula1>
            <xm:f>'m1'!J15</xm:f>
          </x14:formula1>
          <xm:sqref>Z6:Z8</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5A8EA853-6E88-4C43-933A-DD71003C2782}">
          <x14:formula1>
            <xm:f>'m1'!J18</xm:f>
          </x14:formula1>
          <xm:sqref>Z10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1:M1255"/>
  <sheetViews>
    <sheetView topLeftCell="E5" zoomScale="70" zoomScaleNormal="70" workbookViewId="0">
      <selection activeCell="G49" sqref="G49"/>
    </sheetView>
  </sheetViews>
  <sheetFormatPr baseColWidth="10" defaultColWidth="11.42578125" defaultRowHeight="15" x14ac:dyDescent="0.25"/>
  <cols>
    <col min="1" max="1" width="46.5703125" customWidth="1"/>
    <col min="2" max="2" width="46.28515625" customWidth="1"/>
    <col min="3" max="3" width="73.7109375" customWidth="1"/>
    <col min="4" max="4" width="58.42578125" customWidth="1"/>
    <col min="5" max="5" width="24.5703125" customWidth="1"/>
    <col min="6" max="6" width="22.85546875" customWidth="1"/>
    <col min="7" max="8" width="19.140625" customWidth="1"/>
    <col min="9" max="9" width="24.42578125" style="9" customWidth="1"/>
    <col min="10" max="10" width="8.7109375" style="9" customWidth="1"/>
    <col min="11" max="11" width="15.28515625" customWidth="1"/>
    <col min="12" max="12" width="29.42578125" customWidth="1"/>
    <col min="13" max="13" width="15.7109375" customWidth="1"/>
  </cols>
  <sheetData>
    <row r="1" spans="1:13" x14ac:dyDescent="0.25">
      <c r="A1" t="s">
        <v>56</v>
      </c>
      <c r="B1" t="s">
        <v>57</v>
      </c>
      <c r="C1" t="s">
        <v>58</v>
      </c>
      <c r="D1" t="s">
        <v>59</v>
      </c>
      <c r="E1" t="s">
        <v>26</v>
      </c>
      <c r="F1" t="s">
        <v>27</v>
      </c>
      <c r="G1" t="s">
        <v>60</v>
      </c>
      <c r="H1" t="s">
        <v>61</v>
      </c>
      <c r="I1" t="s">
        <v>28</v>
      </c>
      <c r="J1" t="s">
        <v>62</v>
      </c>
      <c r="K1" t="s">
        <v>63</v>
      </c>
      <c r="L1" t="s">
        <v>29</v>
      </c>
      <c r="M1" t="s">
        <v>64</v>
      </c>
    </row>
    <row r="2" spans="1:13" ht="30" x14ac:dyDescent="0.25">
      <c r="A2" t="s">
        <v>65</v>
      </c>
      <c r="B2" t="s">
        <v>66</v>
      </c>
      <c r="C2" s="1" t="s">
        <v>67</v>
      </c>
      <c r="D2" s="1" t="s">
        <v>68</v>
      </c>
      <c r="E2" s="5"/>
      <c r="F2" s="5"/>
      <c r="G2" s="12"/>
      <c r="H2" s="12"/>
      <c r="I2" s="11">
        <v>0.25</v>
      </c>
      <c r="J2" s="11" t="e">
        <f>'PLAN CAP'!#REF!</f>
        <v>#REF!</v>
      </c>
      <c r="K2" s="13">
        <f>IF(G4=" "," ",(_xlfn.DAYS(PlanTrabajo[[#This Row],[FECHA DE FIN]],PlanTrabajo[[#This Row],[FECHA DE INICIO]])))</f>
        <v>0</v>
      </c>
    </row>
    <row r="3" spans="1:13" ht="30" hidden="1" x14ac:dyDescent="0.25">
      <c r="A3" t="s">
        <v>69</v>
      </c>
      <c r="B3" t="s">
        <v>70</v>
      </c>
      <c r="C3" s="1" t="s">
        <v>71</v>
      </c>
      <c r="D3" s="1" t="s">
        <v>72</v>
      </c>
      <c r="E3" s="5"/>
      <c r="F3" s="5"/>
      <c r="G3" s="12">
        <v>43313</v>
      </c>
      <c r="H3" s="12">
        <v>43343</v>
      </c>
      <c r="I3" s="11">
        <v>0.25</v>
      </c>
      <c r="J3" s="11" t="e">
        <f>'PLAN CAP'!#REF!</f>
        <v>#REF!</v>
      </c>
      <c r="K3" s="13">
        <f>IF(G5=" "," ",(_xlfn.DAYS(PlanTrabajo[[#This Row],[FECHA DE FIN]],PlanTrabajo[[#This Row],[FECHA DE INICIO]])))</f>
        <v>30</v>
      </c>
    </row>
    <row r="4" spans="1:13" ht="30" hidden="1" x14ac:dyDescent="0.25">
      <c r="A4" t="s">
        <v>69</v>
      </c>
      <c r="B4" t="s">
        <v>73</v>
      </c>
      <c r="C4" s="1" t="s">
        <v>74</v>
      </c>
      <c r="D4" s="1" t="s">
        <v>75</v>
      </c>
      <c r="E4" s="5"/>
      <c r="F4" s="5"/>
      <c r="G4" s="12">
        <v>43101</v>
      </c>
      <c r="H4" s="12">
        <v>43130</v>
      </c>
      <c r="I4" s="11">
        <v>0.75</v>
      </c>
      <c r="J4" s="11" t="e">
        <f>'PLAN CAP'!#REF!</f>
        <v>#REF!</v>
      </c>
      <c r="K4" s="13">
        <f>IF(G6=" "," ",(_xlfn.DAYS(PlanTrabajo[[#This Row],[FECHA DE FIN]],PlanTrabajo[[#This Row],[FECHA DE INICIO]])))</f>
        <v>29</v>
      </c>
    </row>
    <row r="5" spans="1:13" ht="30" x14ac:dyDescent="0.25">
      <c r="A5" t="s">
        <v>65</v>
      </c>
      <c r="B5" t="s">
        <v>76</v>
      </c>
      <c r="C5" s="1" t="s">
        <v>77</v>
      </c>
      <c r="D5" s="1" t="s">
        <v>78</v>
      </c>
      <c r="E5" s="5"/>
      <c r="F5" s="5"/>
      <c r="G5" s="12"/>
      <c r="H5" s="12"/>
      <c r="I5" s="11">
        <v>1</v>
      </c>
      <c r="J5" s="11" t="e">
        <f>'PLAN CAP'!#REF!</f>
        <v>#REF!</v>
      </c>
      <c r="K5" s="13">
        <f>IF(G7=" "," ",(_xlfn.DAYS(PlanTrabajo[[#This Row],[FECHA DE FIN]],PlanTrabajo[[#This Row],[FECHA DE INICIO]])))</f>
        <v>0</v>
      </c>
    </row>
    <row r="6" spans="1:13" ht="30" hidden="1" x14ac:dyDescent="0.25">
      <c r="A6" t="s">
        <v>79</v>
      </c>
      <c r="B6" t="s">
        <v>80</v>
      </c>
      <c r="C6" s="1" t="s">
        <v>81</v>
      </c>
      <c r="D6" s="1" t="s">
        <v>82</v>
      </c>
      <c r="E6" s="5"/>
      <c r="F6" s="5"/>
      <c r="G6" s="7"/>
      <c r="H6" s="7"/>
      <c r="I6" s="11">
        <v>0.75</v>
      </c>
      <c r="J6" s="11" t="e">
        <f>'PLAN CAP'!#REF!</f>
        <v>#REF!</v>
      </c>
      <c r="K6" s="13">
        <f>IF(G8=" "," ",(_xlfn.DAYS(PlanTrabajo[[#This Row],[FECHA DE FIN]],PlanTrabajo[[#This Row],[FECHA DE INICIO]])))</f>
        <v>0</v>
      </c>
    </row>
    <row r="7" spans="1:13" ht="30" hidden="1" x14ac:dyDescent="0.25">
      <c r="A7" t="s">
        <v>83</v>
      </c>
      <c r="B7" t="s">
        <v>84</v>
      </c>
      <c r="C7" s="1" t="s">
        <v>85</v>
      </c>
      <c r="D7" s="1" t="s">
        <v>86</v>
      </c>
      <c r="E7" s="5"/>
      <c r="F7" s="5"/>
      <c r="G7" s="7"/>
      <c r="H7" s="7"/>
      <c r="I7" s="11">
        <v>1</v>
      </c>
      <c r="J7" s="11" t="e">
        <f>'PLAN CAP'!#REF!</f>
        <v>#REF!</v>
      </c>
      <c r="K7" s="13">
        <f>IF(G9=" "," ",(_xlfn.DAYS(PlanTrabajo[[#This Row],[FECHA DE FIN]],PlanTrabajo[[#This Row],[FECHA DE INICIO]])))</f>
        <v>0</v>
      </c>
    </row>
    <row r="8" spans="1:13" ht="30" hidden="1" x14ac:dyDescent="0.25">
      <c r="A8" t="s">
        <v>69</v>
      </c>
      <c r="B8" t="s">
        <v>70</v>
      </c>
      <c r="C8" s="1" t="s">
        <v>87</v>
      </c>
      <c r="D8" s="1" t="s">
        <v>88</v>
      </c>
      <c r="E8" s="5"/>
      <c r="F8" s="5"/>
      <c r="G8" s="7"/>
      <c r="H8" s="7"/>
      <c r="I8" s="10">
        <v>0.75</v>
      </c>
      <c r="J8" s="10" t="e">
        <f>'PLAN CAP'!#REF!</f>
        <v>#REF!</v>
      </c>
      <c r="K8" s="13">
        <f>IF(G10=" "," ",(_xlfn.DAYS(PlanTrabajo[[#This Row],[FECHA DE FIN]],PlanTrabajo[[#This Row],[FECHA DE INICIO]])))</f>
        <v>0</v>
      </c>
    </row>
    <row r="9" spans="1:13" ht="30" x14ac:dyDescent="0.25">
      <c r="A9" t="s">
        <v>65</v>
      </c>
      <c r="B9" t="s">
        <v>89</v>
      </c>
      <c r="C9" s="1" t="s">
        <v>90</v>
      </c>
      <c r="D9" s="1" t="s">
        <v>91</v>
      </c>
      <c r="E9" s="5"/>
      <c r="F9" s="5"/>
      <c r="G9" s="12"/>
      <c r="H9" s="12"/>
      <c r="I9" s="10">
        <v>0.5</v>
      </c>
      <c r="J9" s="10" t="e">
        <f>'PLAN CAP'!#REF!</f>
        <v>#REF!</v>
      </c>
      <c r="K9" s="13">
        <f>IF(G11=" "," ",(_xlfn.DAYS(PlanTrabajo[[#This Row],[FECHA DE FIN]],PlanTrabajo[[#This Row],[FECHA DE INICIO]])))</f>
        <v>0</v>
      </c>
    </row>
    <row r="10" spans="1:13" ht="30" hidden="1" x14ac:dyDescent="0.25">
      <c r="A10" t="s">
        <v>79</v>
      </c>
      <c r="B10" t="s">
        <v>80</v>
      </c>
      <c r="C10" s="1" t="s">
        <v>92</v>
      </c>
      <c r="D10" s="1" t="s">
        <v>93</v>
      </c>
      <c r="E10" s="5"/>
      <c r="F10" s="5"/>
      <c r="G10" s="7"/>
      <c r="H10" s="7"/>
      <c r="I10" s="10">
        <v>0.75</v>
      </c>
      <c r="J10" s="10" t="e">
        <f>'PLAN CAP'!#REF!</f>
        <v>#REF!</v>
      </c>
      <c r="K10" s="13">
        <f>IF(G12=" "," ",(_xlfn.DAYS(PlanTrabajo[[#This Row],[FECHA DE FIN]],PlanTrabajo[[#This Row],[FECHA DE INICIO]])))</f>
        <v>0</v>
      </c>
    </row>
    <row r="11" spans="1:13" ht="30" x14ac:dyDescent="0.25">
      <c r="A11" t="s">
        <v>65</v>
      </c>
      <c r="B11" t="s">
        <v>76</v>
      </c>
      <c r="C11" s="1" t="s">
        <v>94</v>
      </c>
      <c r="D11" s="1" t="s">
        <v>95</v>
      </c>
      <c r="E11" s="5"/>
      <c r="F11" s="5"/>
      <c r="G11" s="12"/>
      <c r="H11" s="12"/>
      <c r="I11" s="10">
        <v>0</v>
      </c>
      <c r="J11" s="10" t="e">
        <f>'PLAN CAP'!#REF!</f>
        <v>#REF!</v>
      </c>
      <c r="K11" s="13">
        <f>IF(G13=" "," ",(_xlfn.DAYS(PlanTrabajo[[#This Row],[FECHA DE FIN]],PlanTrabajo[[#This Row],[FECHA DE INICIO]])))</f>
        <v>0</v>
      </c>
    </row>
    <row r="12" spans="1:13" ht="30" x14ac:dyDescent="0.25">
      <c r="A12" t="s">
        <v>65</v>
      </c>
      <c r="B12" t="s">
        <v>96</v>
      </c>
      <c r="C12" s="1" t="s">
        <v>97</v>
      </c>
      <c r="D12" s="1" t="s">
        <v>98</v>
      </c>
      <c r="E12" s="5"/>
      <c r="F12" s="5"/>
      <c r="G12" s="12"/>
      <c r="H12" s="12"/>
      <c r="I12" s="10">
        <v>0.25</v>
      </c>
      <c r="J12" s="10" t="e">
        <f>'PLAN CAP'!#REF!</f>
        <v>#REF!</v>
      </c>
      <c r="K12" s="13">
        <f>IF(G14=" "," ",(_xlfn.DAYS(PlanTrabajo[[#This Row],[FECHA DE FIN]],PlanTrabajo[[#This Row],[FECHA DE INICIO]])))</f>
        <v>0</v>
      </c>
    </row>
    <row r="13" spans="1:13" hidden="1" x14ac:dyDescent="0.25">
      <c r="A13" t="s">
        <v>83</v>
      </c>
      <c r="B13" t="s">
        <v>84</v>
      </c>
      <c r="C13" s="1" t="s">
        <v>99</v>
      </c>
      <c r="D13" s="1" t="s">
        <v>100</v>
      </c>
      <c r="E13" s="5"/>
      <c r="F13" s="5"/>
      <c r="G13" s="7"/>
      <c r="H13" s="7"/>
      <c r="I13" s="5"/>
      <c r="J13" s="10" t="e">
        <f>'PLAN CAP'!#REF!</f>
        <v>#REF!</v>
      </c>
      <c r="K13" s="13">
        <f>IF(G15=" "," ",(_xlfn.DAYS(PlanTrabajo[[#This Row],[FECHA DE FIN]],PlanTrabajo[[#This Row],[FECHA DE INICIO]])))</f>
        <v>0</v>
      </c>
    </row>
    <row r="14" spans="1:13" ht="30" hidden="1" x14ac:dyDescent="0.25">
      <c r="A14" t="s">
        <v>101</v>
      </c>
      <c r="B14" t="s">
        <v>43</v>
      </c>
      <c r="C14" s="1" t="s">
        <v>102</v>
      </c>
      <c r="D14" s="1" t="s">
        <v>103</v>
      </c>
      <c r="E14" s="5"/>
      <c r="F14" s="5"/>
      <c r="G14" s="7"/>
      <c r="H14" s="7"/>
      <c r="I14" s="10">
        <v>0.5</v>
      </c>
      <c r="J14" s="10" t="e">
        <f>'PLAN CAP'!#REF!</f>
        <v>#REF!</v>
      </c>
      <c r="K14" s="13">
        <f>IF(G16=" "," ",(_xlfn.DAYS(PlanTrabajo[[#This Row],[FECHA DE FIN]],PlanTrabajo[[#This Row],[FECHA DE INICIO]])))</f>
        <v>0</v>
      </c>
    </row>
    <row r="15" spans="1:13" ht="30" hidden="1" x14ac:dyDescent="0.25">
      <c r="A15" t="s">
        <v>101</v>
      </c>
      <c r="B15" t="s">
        <v>43</v>
      </c>
      <c r="C15" s="1" t="s">
        <v>104</v>
      </c>
      <c r="D15" s="1" t="s">
        <v>105</v>
      </c>
      <c r="E15" s="5"/>
      <c r="F15" s="5"/>
      <c r="G15" s="7"/>
      <c r="H15" s="7"/>
      <c r="I15" s="10">
        <v>1</v>
      </c>
      <c r="J15" s="10" t="e">
        <f>'PLAN CAP'!#REF!</f>
        <v>#REF!</v>
      </c>
      <c r="K15" s="13">
        <f>IF(G17=" "," ",(_xlfn.DAYS(PlanTrabajo[[#This Row],[FECHA DE FIN]],PlanTrabajo[[#This Row],[FECHA DE INICIO]])))</f>
        <v>0</v>
      </c>
    </row>
    <row r="16" spans="1:13" ht="30" hidden="1" x14ac:dyDescent="0.25">
      <c r="A16" t="s">
        <v>106</v>
      </c>
      <c r="B16" t="s">
        <v>107</v>
      </c>
      <c r="C16" s="1" t="s">
        <v>108</v>
      </c>
      <c r="D16" s="1" t="s">
        <v>109</v>
      </c>
      <c r="E16" s="5"/>
      <c r="F16" s="5"/>
      <c r="G16" s="7"/>
      <c r="H16" s="7"/>
      <c r="I16" s="5"/>
      <c r="J16" s="10" t="e">
        <f>'PLAN CAP'!#REF!</f>
        <v>#REF!</v>
      </c>
      <c r="K16" s="13">
        <f>IF(G18=" "," ",(_xlfn.DAYS(PlanTrabajo[[#This Row],[FECHA DE FIN]],PlanTrabajo[[#This Row],[FECHA DE INICIO]])))</f>
        <v>0</v>
      </c>
    </row>
    <row r="17" spans="1:11" x14ac:dyDescent="0.25">
      <c r="A17" t="s">
        <v>65</v>
      </c>
      <c r="B17" t="s">
        <v>110</v>
      </c>
      <c r="C17" s="1" t="s">
        <v>111</v>
      </c>
      <c r="D17" s="1" t="s">
        <v>112</v>
      </c>
      <c r="E17" s="5"/>
      <c r="F17" s="5"/>
      <c r="G17" s="7"/>
      <c r="H17" s="7"/>
      <c r="I17" s="5"/>
      <c r="J17" s="10" t="e">
        <f>'PLAN CAP'!#REF!</f>
        <v>#REF!</v>
      </c>
      <c r="K17" s="13">
        <f>IF(G19=" "," ",(_xlfn.DAYS(PlanTrabajo[[#This Row],[FECHA DE FIN]],PlanTrabajo[[#This Row],[FECHA DE INICIO]])))</f>
        <v>0</v>
      </c>
    </row>
    <row r="18" spans="1:11" ht="30" x14ac:dyDescent="0.25">
      <c r="A18" t="s">
        <v>65</v>
      </c>
      <c r="B18" t="s">
        <v>110</v>
      </c>
      <c r="C18" s="1" t="s">
        <v>113</v>
      </c>
      <c r="D18" s="1" t="s">
        <v>114</v>
      </c>
      <c r="E18" s="5"/>
      <c r="F18" s="5"/>
      <c r="G18" s="7"/>
      <c r="H18" s="7"/>
      <c r="I18" s="5"/>
      <c r="J18" s="10" t="e">
        <f>'PLAN CAP'!#REF!</f>
        <v>#REF!</v>
      </c>
      <c r="K18" s="13">
        <f>IF(G20=" "," ",(_xlfn.DAYS(PlanTrabajo[[#This Row],[FECHA DE FIN]],PlanTrabajo[[#This Row],[FECHA DE INICIO]])))</f>
        <v>0</v>
      </c>
    </row>
    <row r="19" spans="1:11" ht="45" x14ac:dyDescent="0.25">
      <c r="A19" t="s">
        <v>65</v>
      </c>
      <c r="B19" t="s">
        <v>110</v>
      </c>
      <c r="C19" s="1" t="s">
        <v>115</v>
      </c>
      <c r="D19" s="1" t="s">
        <v>116</v>
      </c>
      <c r="E19" s="5"/>
      <c r="F19" s="5"/>
      <c r="G19" s="7"/>
      <c r="H19" s="7"/>
      <c r="I19" s="5"/>
      <c r="J19" s="10" t="e">
        <f>'PLAN CAP'!#REF!</f>
        <v>#REF!</v>
      </c>
      <c r="K19" s="13">
        <f>IF(G21=" "," ",(_xlfn.DAYS(PlanTrabajo[[#This Row],[FECHA DE FIN]],PlanTrabajo[[#This Row],[FECHA DE INICIO]])))</f>
        <v>0</v>
      </c>
    </row>
    <row r="20" spans="1:11" ht="30" x14ac:dyDescent="0.25">
      <c r="A20" t="s">
        <v>65</v>
      </c>
      <c r="B20" t="s">
        <v>110</v>
      </c>
      <c r="C20" s="1" t="s">
        <v>117</v>
      </c>
      <c r="D20" s="1" t="s">
        <v>118</v>
      </c>
      <c r="E20" s="5"/>
      <c r="F20" s="5"/>
      <c r="G20" s="7"/>
      <c r="H20" s="7"/>
      <c r="I20" s="5"/>
      <c r="J20" s="10" t="e">
        <f>'PLAN CAP'!#REF!</f>
        <v>#REF!</v>
      </c>
      <c r="K20" s="13">
        <f>IF(G22=" "," ",(_xlfn.DAYS(PlanTrabajo[[#This Row],[FECHA DE FIN]],PlanTrabajo[[#This Row],[FECHA DE INICIO]])))</f>
        <v>0</v>
      </c>
    </row>
    <row r="21" spans="1:11" x14ac:dyDescent="0.25">
      <c r="A21" t="s">
        <v>65</v>
      </c>
      <c r="B21" t="s">
        <v>110</v>
      </c>
      <c r="C21" s="1" t="s">
        <v>119</v>
      </c>
      <c r="D21" s="1" t="s">
        <v>120</v>
      </c>
      <c r="E21" s="5"/>
      <c r="F21" s="5"/>
      <c r="G21" s="7"/>
      <c r="H21" s="7"/>
      <c r="I21" s="5"/>
      <c r="J21" s="10" t="e">
        <f>'PLAN CAP'!#REF!</f>
        <v>#REF!</v>
      </c>
      <c r="K21" s="13">
        <f>IF(G23=" "," ",(_xlfn.DAYS(PlanTrabajo[[#This Row],[FECHA DE FIN]],PlanTrabajo[[#This Row],[FECHA DE INICIO]])))</f>
        <v>0</v>
      </c>
    </row>
    <row r="22" spans="1:11" x14ac:dyDescent="0.25">
      <c r="A22" t="s">
        <v>65</v>
      </c>
      <c r="B22" t="s">
        <v>110</v>
      </c>
      <c r="C22" s="1" t="s">
        <v>121</v>
      </c>
      <c r="D22" s="1" t="s">
        <v>122</v>
      </c>
      <c r="E22" s="5"/>
      <c r="F22" s="5"/>
      <c r="G22" s="7"/>
      <c r="H22" s="7"/>
      <c r="I22" s="5"/>
      <c r="J22" s="10" t="e">
        <f>'PLAN CAP'!#REF!</f>
        <v>#REF!</v>
      </c>
      <c r="K22" s="13">
        <f>IF(G24=" "," ",(_xlfn.DAYS(PlanTrabajo[[#This Row],[FECHA DE FIN]],PlanTrabajo[[#This Row],[FECHA DE INICIO]])))</f>
        <v>0</v>
      </c>
    </row>
    <row r="23" spans="1:11" x14ac:dyDescent="0.25">
      <c r="A23" t="s">
        <v>65</v>
      </c>
      <c r="B23" t="s">
        <v>123</v>
      </c>
      <c r="C23" s="1" t="s">
        <v>111</v>
      </c>
      <c r="D23" s="1" t="s">
        <v>124</v>
      </c>
      <c r="E23" s="5"/>
      <c r="F23" s="5"/>
      <c r="G23" s="7"/>
      <c r="H23" s="7"/>
      <c r="I23" s="5"/>
      <c r="J23" s="10" t="e">
        <f>'PLAN CAP'!#REF!</f>
        <v>#REF!</v>
      </c>
      <c r="K23" s="13">
        <f>IF(G25=" "," ",(_xlfn.DAYS(PlanTrabajo[[#This Row],[FECHA DE FIN]],PlanTrabajo[[#This Row],[FECHA DE INICIO]])))</f>
        <v>0</v>
      </c>
    </row>
    <row r="24" spans="1:11" ht="30" x14ac:dyDescent="0.25">
      <c r="A24" t="s">
        <v>65</v>
      </c>
      <c r="B24" t="s">
        <v>123</v>
      </c>
      <c r="C24" s="1" t="s">
        <v>125</v>
      </c>
      <c r="D24" s="1" t="s">
        <v>126</v>
      </c>
      <c r="E24" s="5"/>
      <c r="F24" s="5"/>
      <c r="G24" s="7"/>
      <c r="H24" s="7"/>
      <c r="I24" s="5"/>
      <c r="J24" s="10" t="e">
        <f>'PLAN CAP'!#REF!</f>
        <v>#REF!</v>
      </c>
      <c r="K24" s="13">
        <f>IF(G26=" "," ",(_xlfn.DAYS(PlanTrabajo[[#This Row],[FECHA DE FIN]],PlanTrabajo[[#This Row],[FECHA DE INICIO]])))</f>
        <v>0</v>
      </c>
    </row>
    <row r="25" spans="1:11" ht="30" x14ac:dyDescent="0.25">
      <c r="A25" t="s">
        <v>65</v>
      </c>
      <c r="B25" t="s">
        <v>123</v>
      </c>
      <c r="C25" s="1" t="s">
        <v>127</v>
      </c>
      <c r="D25" s="1" t="s">
        <v>128</v>
      </c>
      <c r="E25" s="5"/>
      <c r="F25" s="5"/>
      <c r="G25" s="7"/>
      <c r="H25" s="7"/>
      <c r="I25" s="5"/>
      <c r="J25" s="10" t="e">
        <f>'PLAN CAP'!#REF!</f>
        <v>#REF!</v>
      </c>
      <c r="K25" s="13">
        <f>IF(G27=" "," ",(_xlfn.DAYS(PlanTrabajo[[#This Row],[FECHA DE FIN]],PlanTrabajo[[#This Row],[FECHA DE INICIO]])))</f>
        <v>0</v>
      </c>
    </row>
    <row r="26" spans="1:11" ht="45" x14ac:dyDescent="0.25">
      <c r="A26" t="s">
        <v>65</v>
      </c>
      <c r="B26" t="s">
        <v>123</v>
      </c>
      <c r="C26" s="1" t="s">
        <v>129</v>
      </c>
      <c r="D26" s="1" t="s">
        <v>130</v>
      </c>
      <c r="E26" s="5"/>
      <c r="F26" s="5"/>
      <c r="G26" s="7"/>
      <c r="H26" s="7"/>
      <c r="I26" s="5"/>
      <c r="J26" s="10" t="e">
        <f>'PLAN CAP'!#REF!</f>
        <v>#REF!</v>
      </c>
      <c r="K26" s="13">
        <f>IF(G28=" "," ",(_xlfn.DAYS(PlanTrabajo[[#This Row],[FECHA DE FIN]],PlanTrabajo[[#This Row],[FECHA DE INICIO]])))</f>
        <v>0</v>
      </c>
    </row>
    <row r="27" spans="1:11" ht="30" hidden="1" x14ac:dyDescent="0.25">
      <c r="A27" t="s">
        <v>79</v>
      </c>
      <c r="B27" t="s">
        <v>131</v>
      </c>
      <c r="C27" s="1" t="s">
        <v>132</v>
      </c>
      <c r="D27" s="1" t="s">
        <v>133</v>
      </c>
      <c r="E27" s="5"/>
      <c r="F27" s="5"/>
      <c r="G27" s="7"/>
      <c r="H27" s="7"/>
      <c r="I27" s="5"/>
      <c r="J27" s="10" t="e">
        <f>'PLAN CAP'!#REF!</f>
        <v>#REF!</v>
      </c>
      <c r="K27" s="13">
        <f>IF(G29=" "," ",(_xlfn.DAYS(PlanTrabajo[[#This Row],[FECHA DE FIN]],PlanTrabajo[[#This Row],[FECHA DE INICIO]])))</f>
        <v>0</v>
      </c>
    </row>
    <row r="28" spans="1:11" ht="30" x14ac:dyDescent="0.25">
      <c r="A28" t="s">
        <v>65</v>
      </c>
      <c r="B28" t="s">
        <v>134</v>
      </c>
      <c r="C28" s="1" t="s">
        <v>135</v>
      </c>
      <c r="D28" s="1" t="s">
        <v>136</v>
      </c>
      <c r="E28" s="5"/>
      <c r="F28" s="5"/>
      <c r="G28" s="7"/>
      <c r="H28" s="7"/>
      <c r="I28" s="5"/>
      <c r="J28" s="10" t="e">
        <f>'PLAN CAP'!#REF!</f>
        <v>#REF!</v>
      </c>
      <c r="K28" s="13">
        <f>IF(G30=" "," ",(_xlfn.DAYS(PlanTrabajo[[#This Row],[FECHA DE FIN]],PlanTrabajo[[#This Row],[FECHA DE INICIO]])))</f>
        <v>0</v>
      </c>
    </row>
    <row r="29" spans="1:11" ht="30" x14ac:dyDescent="0.25">
      <c r="A29" t="s">
        <v>65</v>
      </c>
      <c r="B29" t="s">
        <v>137</v>
      </c>
      <c r="C29" s="1" t="s">
        <v>138</v>
      </c>
      <c r="D29" s="1" t="s">
        <v>139</v>
      </c>
      <c r="E29" s="5"/>
      <c r="F29" s="5"/>
      <c r="G29" s="7"/>
      <c r="H29" s="7"/>
      <c r="I29" s="5"/>
      <c r="J29" s="10" t="e">
        <f>'PLAN CAP'!#REF!</f>
        <v>#REF!</v>
      </c>
      <c r="K29" s="13">
        <f>IF(G31=" "," ",(_xlfn.DAYS(PlanTrabajo[[#This Row],[FECHA DE FIN]],PlanTrabajo[[#This Row],[FECHA DE INICIO]])))</f>
        <v>0</v>
      </c>
    </row>
    <row r="30" spans="1:11" ht="30" x14ac:dyDescent="0.25">
      <c r="A30" t="s">
        <v>65</v>
      </c>
      <c r="B30" t="s">
        <v>140</v>
      </c>
      <c r="C30" s="1" t="s">
        <v>141</v>
      </c>
      <c r="D30" s="1" t="s">
        <v>142</v>
      </c>
      <c r="E30" s="5"/>
      <c r="F30" s="5"/>
      <c r="G30" s="7"/>
      <c r="H30" s="7"/>
      <c r="I30" s="5"/>
      <c r="J30" s="10" t="e">
        <f>'PLAN CAP'!#REF!</f>
        <v>#REF!</v>
      </c>
      <c r="K30" s="13">
        <f>IF(G32=" "," ",(_xlfn.DAYS(PlanTrabajo[[#This Row],[FECHA DE FIN]],PlanTrabajo[[#This Row],[FECHA DE INICIO]])))</f>
        <v>0</v>
      </c>
    </row>
    <row r="31" spans="1:11" ht="30" x14ac:dyDescent="0.25">
      <c r="A31" t="s">
        <v>65</v>
      </c>
      <c r="B31" t="s">
        <v>143</v>
      </c>
      <c r="C31" s="1" t="s">
        <v>144</v>
      </c>
      <c r="D31" s="1" t="s">
        <v>145</v>
      </c>
      <c r="E31" s="5"/>
      <c r="F31" s="5"/>
      <c r="G31" s="7"/>
      <c r="H31" s="7"/>
      <c r="I31" s="5"/>
      <c r="J31" s="10" t="e">
        <f>'PLAN CAP'!#REF!</f>
        <v>#REF!</v>
      </c>
      <c r="K31" s="13">
        <f>IF(G33=" "," ",(_xlfn.DAYS(PlanTrabajo[[#This Row],[FECHA DE FIN]],PlanTrabajo[[#This Row],[FECHA DE INICIO]])))</f>
        <v>0</v>
      </c>
    </row>
    <row r="32" spans="1:11" ht="45" hidden="1" x14ac:dyDescent="0.25">
      <c r="A32" t="s">
        <v>101</v>
      </c>
      <c r="B32" t="s">
        <v>146</v>
      </c>
      <c r="C32" s="1" t="s">
        <v>147</v>
      </c>
      <c r="D32" s="1" t="s">
        <v>148</v>
      </c>
      <c r="E32" s="5"/>
      <c r="F32" s="5"/>
      <c r="G32" s="7"/>
      <c r="H32" s="7"/>
      <c r="I32" s="5"/>
      <c r="J32" s="10" t="e">
        <f>'PLAN CAP'!#REF!</f>
        <v>#REF!</v>
      </c>
      <c r="K32" s="13">
        <f>IF(G34=" "," ",(_xlfn.DAYS(PlanTrabajo[[#This Row],[FECHA DE FIN]],PlanTrabajo[[#This Row],[FECHA DE INICIO]])))</f>
        <v>0</v>
      </c>
    </row>
    <row r="33" spans="1:11" ht="30" hidden="1" x14ac:dyDescent="0.25">
      <c r="A33" t="s">
        <v>106</v>
      </c>
      <c r="B33" t="s">
        <v>149</v>
      </c>
      <c r="C33" s="1" t="s">
        <v>150</v>
      </c>
      <c r="D33" s="1" t="s">
        <v>151</v>
      </c>
      <c r="E33" s="5"/>
      <c r="F33" s="5"/>
      <c r="G33" s="7"/>
      <c r="H33" s="7"/>
      <c r="I33" s="5"/>
      <c r="J33" s="10" t="e">
        <f>'PLAN CAP'!#REF!</f>
        <v>#REF!</v>
      </c>
      <c r="K33" s="13">
        <f>IF(G35=" "," ",(_xlfn.DAYS(PlanTrabajo[[#This Row],[FECHA DE FIN]],PlanTrabajo[[#This Row],[FECHA DE INICIO]])))</f>
        <v>0</v>
      </c>
    </row>
    <row r="34" spans="1:11" ht="30" hidden="1" x14ac:dyDescent="0.25">
      <c r="A34" t="s">
        <v>106</v>
      </c>
      <c r="B34" t="s">
        <v>149</v>
      </c>
      <c r="C34" s="1" t="s">
        <v>152</v>
      </c>
      <c r="D34" s="1" t="s">
        <v>153</v>
      </c>
      <c r="E34" s="5"/>
      <c r="F34" s="5"/>
      <c r="G34" s="7"/>
      <c r="H34" s="7"/>
      <c r="I34" s="5"/>
      <c r="J34" s="10" t="e">
        <f>'PLAN CAP'!#REF!</f>
        <v>#REF!</v>
      </c>
      <c r="K34" s="13">
        <f>IF(G36=" "," ",(_xlfn.DAYS(PlanTrabajo[[#This Row],[FECHA DE FIN]],PlanTrabajo[[#This Row],[FECHA DE INICIO]])))</f>
        <v>0</v>
      </c>
    </row>
    <row r="35" spans="1:11" hidden="1" x14ac:dyDescent="0.25">
      <c r="A35" t="s">
        <v>106</v>
      </c>
      <c r="B35" t="s">
        <v>154</v>
      </c>
      <c r="C35" s="1" t="s">
        <v>155</v>
      </c>
      <c r="D35" s="1" t="s">
        <v>156</v>
      </c>
      <c r="E35" s="5"/>
      <c r="F35" s="5"/>
      <c r="G35" s="7"/>
      <c r="H35" s="7"/>
      <c r="I35" s="5"/>
      <c r="J35" s="10" t="e">
        <f>'PLAN CAP'!#REF!</f>
        <v>#REF!</v>
      </c>
      <c r="K35" s="13">
        <f>IF(G37=" "," ",(_xlfn.DAYS(PlanTrabajo[[#This Row],[FECHA DE FIN]],PlanTrabajo[[#This Row],[FECHA DE INICIO]])))</f>
        <v>0</v>
      </c>
    </row>
    <row r="36" spans="1:11" ht="30" hidden="1" x14ac:dyDescent="0.25">
      <c r="A36" t="s">
        <v>106</v>
      </c>
      <c r="B36" t="s">
        <v>157</v>
      </c>
      <c r="C36" s="1" t="s">
        <v>158</v>
      </c>
      <c r="D36" s="1" t="s">
        <v>159</v>
      </c>
      <c r="E36" s="5"/>
      <c r="F36" s="5"/>
      <c r="G36" s="7"/>
      <c r="H36" s="7"/>
      <c r="I36" s="5"/>
      <c r="J36" s="10" t="e">
        <f>'PLAN CAP'!#REF!</f>
        <v>#REF!</v>
      </c>
      <c r="K36" s="13">
        <f>IF(G38=" "," ",(_xlfn.DAYS(PlanTrabajo[[#This Row],[FECHA DE FIN]],PlanTrabajo[[#This Row],[FECHA DE INICIO]])))</f>
        <v>0</v>
      </c>
    </row>
    <row r="37" spans="1:11" ht="45" hidden="1" x14ac:dyDescent="0.25">
      <c r="A37" t="s">
        <v>106</v>
      </c>
      <c r="B37" t="s">
        <v>157</v>
      </c>
      <c r="C37" s="1" t="s">
        <v>160</v>
      </c>
      <c r="D37" s="1" t="s">
        <v>161</v>
      </c>
      <c r="E37" s="5"/>
      <c r="F37" s="5"/>
      <c r="G37" s="7"/>
      <c r="H37" s="7"/>
      <c r="I37" s="5"/>
      <c r="J37" s="10" t="e">
        <f>'PLAN CAP'!#REF!</f>
        <v>#REF!</v>
      </c>
      <c r="K37" s="13">
        <f>IF(G39=" "," ",(_xlfn.DAYS(PlanTrabajo[[#This Row],[FECHA DE FIN]],PlanTrabajo[[#This Row],[FECHA DE INICIO]])))</f>
        <v>0</v>
      </c>
    </row>
    <row r="38" spans="1:11" ht="30" hidden="1" x14ac:dyDescent="0.25">
      <c r="A38" t="s">
        <v>106</v>
      </c>
      <c r="B38" t="s">
        <v>157</v>
      </c>
      <c r="C38" s="1" t="s">
        <v>162</v>
      </c>
      <c r="D38" s="1" t="s">
        <v>163</v>
      </c>
      <c r="E38" s="5"/>
      <c r="F38" s="5"/>
      <c r="G38" s="7"/>
      <c r="H38" s="7"/>
      <c r="I38" s="5"/>
      <c r="J38" s="10" t="e">
        <f>'PLAN CAP'!#REF!</f>
        <v>#REF!</v>
      </c>
      <c r="K38" s="13">
        <f>IF(G40=" "," ",(_xlfn.DAYS(PlanTrabajo[[#This Row],[FECHA DE FIN]],PlanTrabajo[[#This Row],[FECHA DE INICIO]])))</f>
        <v>0</v>
      </c>
    </row>
    <row r="39" spans="1:11" ht="60" x14ac:dyDescent="0.25">
      <c r="A39" t="s">
        <v>65</v>
      </c>
      <c r="B39" t="s">
        <v>164</v>
      </c>
      <c r="C39" s="1" t="s">
        <v>165</v>
      </c>
      <c r="D39" s="1" t="s">
        <v>166</v>
      </c>
      <c r="E39" s="5"/>
      <c r="F39" s="5"/>
      <c r="G39" s="7"/>
      <c r="H39" s="7"/>
      <c r="I39" s="5"/>
      <c r="J39" s="10" t="e">
        <f>'PLAN CAP'!#REF!</f>
        <v>#REF!</v>
      </c>
      <c r="K39" s="13">
        <f>IF(G41=" "," ",(_xlfn.DAYS(PlanTrabajo[[#This Row],[FECHA DE FIN]],PlanTrabajo[[#This Row],[FECHA DE INICIO]])))</f>
        <v>0</v>
      </c>
    </row>
    <row r="40" spans="1:11" ht="30" hidden="1" x14ac:dyDescent="0.25">
      <c r="A40" t="s">
        <v>106</v>
      </c>
      <c r="B40" t="s">
        <v>167</v>
      </c>
      <c r="C40" s="1" t="s">
        <v>168</v>
      </c>
      <c r="D40" s="1" t="s">
        <v>169</v>
      </c>
      <c r="E40" s="5"/>
      <c r="F40" s="5"/>
      <c r="G40" s="7"/>
      <c r="H40" s="7"/>
      <c r="I40" s="5"/>
      <c r="J40" s="10" t="e">
        <f>'PLAN CAP'!#REF!</f>
        <v>#REF!</v>
      </c>
      <c r="K40" s="13">
        <f>IF(G42=" "," ",(_xlfn.DAYS(PlanTrabajo[[#This Row],[FECHA DE FIN]],PlanTrabajo[[#This Row],[FECHA DE INICIO]])))</f>
        <v>0</v>
      </c>
    </row>
    <row r="41" spans="1:11" ht="45" x14ac:dyDescent="0.25">
      <c r="A41" t="s">
        <v>65</v>
      </c>
      <c r="B41" t="s">
        <v>170</v>
      </c>
      <c r="C41" s="1" t="s">
        <v>171</v>
      </c>
      <c r="D41" s="1" t="s">
        <v>172</v>
      </c>
      <c r="E41" s="5"/>
      <c r="F41" s="5"/>
      <c r="G41" s="7"/>
      <c r="H41" s="7"/>
      <c r="I41" s="5"/>
      <c r="J41" s="10" t="e">
        <f>'PLAN CAP'!#REF!</f>
        <v>#REF!</v>
      </c>
      <c r="K41" s="13">
        <f>IF(G43=" "," ",(_xlfn.DAYS(PlanTrabajo[[#This Row],[FECHA DE FIN]],PlanTrabajo[[#This Row],[FECHA DE INICIO]])))</f>
        <v>0</v>
      </c>
    </row>
    <row r="42" spans="1:11" x14ac:dyDescent="0.25">
      <c r="A42" t="s">
        <v>65</v>
      </c>
      <c r="B42" t="s">
        <v>170</v>
      </c>
      <c r="C42" s="1" t="s">
        <v>173</v>
      </c>
      <c r="D42" s="1" t="s">
        <v>174</v>
      </c>
      <c r="E42" s="5"/>
      <c r="F42" s="5"/>
      <c r="G42" s="7"/>
      <c r="H42" s="7"/>
      <c r="I42" s="5"/>
      <c r="J42" s="10" t="e">
        <f>'PLAN CAP'!#REF!</f>
        <v>#REF!</v>
      </c>
      <c r="K42" s="13">
        <f>IF(G44=" "," ",(_xlfn.DAYS(PlanTrabajo[[#This Row],[FECHA DE FIN]],PlanTrabajo[[#This Row],[FECHA DE INICIO]])))</f>
        <v>0</v>
      </c>
    </row>
    <row r="43" spans="1:11" ht="30" x14ac:dyDescent="0.25">
      <c r="A43" t="s">
        <v>65</v>
      </c>
      <c r="B43" t="s">
        <v>175</v>
      </c>
      <c r="C43" s="1" t="s">
        <v>176</v>
      </c>
      <c r="D43" s="1" t="s">
        <v>177</v>
      </c>
      <c r="E43" s="5"/>
      <c r="F43" s="5"/>
      <c r="G43" s="7"/>
      <c r="H43" s="7"/>
      <c r="I43" s="5"/>
      <c r="J43" s="10" t="e">
        <f>'PLAN CAP'!#REF!</f>
        <v>#REF!</v>
      </c>
      <c r="K43" s="13">
        <f>IF(G45=" "," ",(_xlfn.DAYS(PlanTrabajo[[#This Row],[FECHA DE FIN]],PlanTrabajo[[#This Row],[FECHA DE INICIO]])))</f>
        <v>0</v>
      </c>
    </row>
    <row r="44" spans="1:11" ht="30" x14ac:dyDescent="0.25">
      <c r="A44" t="s">
        <v>65</v>
      </c>
      <c r="B44" t="s">
        <v>175</v>
      </c>
      <c r="C44" s="1" t="s">
        <v>178</v>
      </c>
      <c r="D44" s="1" t="s">
        <v>179</v>
      </c>
      <c r="E44" s="5"/>
      <c r="F44" s="5"/>
      <c r="G44" s="7"/>
      <c r="H44" s="7"/>
      <c r="I44" s="5"/>
      <c r="J44" s="10" t="e">
        <f>'PLAN CAP'!#REF!</f>
        <v>#REF!</v>
      </c>
      <c r="K44" s="13">
        <f>IF(G46=" "," ",(_xlfn.DAYS(PlanTrabajo[[#This Row],[FECHA DE FIN]],PlanTrabajo[[#This Row],[FECHA DE INICIO]])))</f>
        <v>0</v>
      </c>
    </row>
    <row r="45" spans="1:11" ht="45" hidden="1" x14ac:dyDescent="0.25">
      <c r="A45" t="s">
        <v>101</v>
      </c>
      <c r="B45" t="s">
        <v>180</v>
      </c>
      <c r="C45" s="1" t="s">
        <v>181</v>
      </c>
      <c r="D45" s="1" t="s">
        <v>182</v>
      </c>
      <c r="E45" s="5"/>
      <c r="F45" s="5"/>
      <c r="G45" s="7"/>
      <c r="H45" s="7"/>
      <c r="I45" s="5"/>
      <c r="J45" s="10" t="e">
        <f>'PLAN CAP'!#REF!</f>
        <v>#REF!</v>
      </c>
      <c r="K45" s="13">
        <f>IF(G47=" "," ",(_xlfn.DAYS(PlanTrabajo[[#This Row],[FECHA DE FIN]],PlanTrabajo[[#This Row],[FECHA DE INICIO]])))</f>
        <v>0</v>
      </c>
    </row>
    <row r="46" spans="1:11" hidden="1" x14ac:dyDescent="0.25">
      <c r="A46" t="s">
        <v>106</v>
      </c>
      <c r="B46" t="s">
        <v>183</v>
      </c>
      <c r="C46" s="1" t="s">
        <v>184</v>
      </c>
      <c r="D46" s="1" t="s">
        <v>185</v>
      </c>
      <c r="E46" s="5"/>
      <c r="F46" s="5"/>
      <c r="G46" s="7"/>
      <c r="H46" s="7"/>
      <c r="I46" s="5"/>
      <c r="J46" s="10" t="e">
        <f>'PLAN CAP'!#REF!</f>
        <v>#REF!</v>
      </c>
      <c r="K46" s="13">
        <f>IF(G48=" "," ",(_xlfn.DAYS(PlanTrabajo[[#This Row],[FECHA DE FIN]],PlanTrabajo[[#This Row],[FECHA DE INICIO]])))</f>
        <v>0</v>
      </c>
    </row>
    <row r="47" spans="1:11" hidden="1" x14ac:dyDescent="0.25">
      <c r="A47" t="s">
        <v>106</v>
      </c>
      <c r="B47" t="s">
        <v>186</v>
      </c>
      <c r="C47" s="1" t="s">
        <v>187</v>
      </c>
      <c r="D47" s="1" t="s">
        <v>185</v>
      </c>
      <c r="E47" s="5"/>
      <c r="F47" s="5"/>
      <c r="G47" s="7"/>
      <c r="H47" s="7"/>
      <c r="I47" s="5"/>
      <c r="J47" s="10" t="e">
        <f>'PLAN CAP'!#REF!</f>
        <v>#REF!</v>
      </c>
      <c r="K47" s="13">
        <f>IF(G49=" "," ",(_xlfn.DAYS(PlanTrabajo[[#This Row],[FECHA DE FIN]],PlanTrabajo[[#This Row],[FECHA DE INICIO]])))</f>
        <v>0</v>
      </c>
    </row>
    <row r="48" spans="1:11" hidden="1" x14ac:dyDescent="0.25">
      <c r="A48" t="s">
        <v>69</v>
      </c>
      <c r="B48" t="s">
        <v>188</v>
      </c>
      <c r="C48" s="1" t="s">
        <v>189</v>
      </c>
      <c r="D48" s="1" t="s">
        <v>190</v>
      </c>
      <c r="E48" s="5"/>
      <c r="F48" s="5"/>
      <c r="G48" s="7"/>
      <c r="H48" s="7"/>
      <c r="I48" s="5"/>
      <c r="J48" s="10" t="e">
        <f>'PLAN CAP'!#REF!</f>
        <v>#REF!</v>
      </c>
      <c r="K48" s="13">
        <f>IF(G50=" "," ",(_xlfn.DAYS(PlanTrabajo[[#This Row],[FECHA DE FIN]],PlanTrabajo[[#This Row],[FECHA DE INICIO]])))</f>
        <v>0</v>
      </c>
    </row>
    <row r="49" spans="1:11" ht="30" x14ac:dyDescent="0.25">
      <c r="A49" t="s">
        <v>65</v>
      </c>
      <c r="B49" t="s">
        <v>191</v>
      </c>
      <c r="C49" s="1" t="s">
        <v>192</v>
      </c>
      <c r="D49" s="1" t="s">
        <v>193</v>
      </c>
      <c r="E49" s="5"/>
      <c r="F49" s="5"/>
      <c r="G49" s="7"/>
      <c r="H49" s="7"/>
      <c r="I49" s="5"/>
      <c r="J49" s="10" t="e">
        <f>'PLAN CAP'!#REF!</f>
        <v>#REF!</v>
      </c>
      <c r="K49" s="13">
        <f>IF(G51=" "," ",(_xlfn.DAYS(PlanTrabajo[[#This Row],[FECHA DE FIN]],PlanTrabajo[[#This Row],[FECHA DE INICIO]])))</f>
        <v>0</v>
      </c>
    </row>
    <row r="50" spans="1:11" ht="30" x14ac:dyDescent="0.25">
      <c r="A50" t="s">
        <v>65</v>
      </c>
      <c r="B50" t="s">
        <v>191</v>
      </c>
      <c r="C50" s="1" t="s">
        <v>194</v>
      </c>
      <c r="D50" s="1" t="s">
        <v>195</v>
      </c>
      <c r="E50" s="5"/>
      <c r="F50" s="5"/>
      <c r="G50" s="7"/>
      <c r="H50" s="7"/>
      <c r="I50" s="5"/>
      <c r="J50" s="10" t="e">
        <f>'PLAN CAP'!#REF!</f>
        <v>#REF!</v>
      </c>
      <c r="K50" s="13">
        <f>IF(G52=" "," ",(_xlfn.DAYS(PlanTrabajo[[#This Row],[FECHA DE FIN]],PlanTrabajo[[#This Row],[FECHA DE INICIO]])))</f>
        <v>0</v>
      </c>
    </row>
    <row r="51" spans="1:11" ht="30" hidden="1" x14ac:dyDescent="0.25">
      <c r="A51" t="s">
        <v>101</v>
      </c>
      <c r="B51" t="s">
        <v>196</v>
      </c>
      <c r="C51" s="1" t="s">
        <v>197</v>
      </c>
      <c r="D51" s="1" t="s">
        <v>198</v>
      </c>
      <c r="E51" s="5"/>
      <c r="F51" s="5"/>
      <c r="G51" s="7"/>
      <c r="H51" s="7"/>
      <c r="I51" s="5"/>
      <c r="J51" s="10" t="e">
        <f>'PLAN CAP'!#REF!</f>
        <v>#REF!</v>
      </c>
      <c r="K51" s="13">
        <f>IF(G53=" "," ",(_xlfn.DAYS(PlanTrabajo[[#This Row],[FECHA DE FIN]],PlanTrabajo[[#This Row],[FECHA DE INICIO]])))</f>
        <v>0</v>
      </c>
    </row>
    <row r="52" spans="1:11" ht="45" hidden="1" x14ac:dyDescent="0.25">
      <c r="A52" t="s">
        <v>101</v>
      </c>
      <c r="B52" t="s">
        <v>196</v>
      </c>
      <c r="C52" s="1" t="s">
        <v>199</v>
      </c>
      <c r="D52" s="1" t="s">
        <v>200</v>
      </c>
      <c r="E52" s="5"/>
      <c r="F52" s="5"/>
      <c r="G52" s="7"/>
      <c r="H52" s="7"/>
      <c r="I52" s="5"/>
      <c r="J52" s="10" t="e">
        <f>'PLAN CAP'!#REF!</f>
        <v>#REF!</v>
      </c>
      <c r="K52" s="13">
        <f>IF(G54=" "," ",(_xlfn.DAYS(PlanTrabajo[[#This Row],[FECHA DE FIN]],PlanTrabajo[[#This Row],[FECHA DE INICIO]])))</f>
        <v>0</v>
      </c>
    </row>
    <row r="53" spans="1:11" hidden="1" x14ac:dyDescent="0.25">
      <c r="A53" t="s">
        <v>69</v>
      </c>
      <c r="B53" t="s">
        <v>201</v>
      </c>
      <c r="C53" s="1" t="s">
        <v>202</v>
      </c>
      <c r="D53" s="1" t="s">
        <v>203</v>
      </c>
      <c r="E53" s="5"/>
      <c r="F53" s="5"/>
      <c r="G53" s="7"/>
      <c r="H53" s="7"/>
      <c r="I53" s="5"/>
      <c r="J53" s="10" t="e">
        <f>'PLAN CAP'!#REF!</f>
        <v>#REF!</v>
      </c>
      <c r="K53" s="13">
        <f>IF(G55=" "," ",(_xlfn.DAYS(PlanTrabajo[[#This Row],[FECHA DE FIN]],PlanTrabajo[[#This Row],[FECHA DE INICIO]])))</f>
        <v>0</v>
      </c>
    </row>
    <row r="54" spans="1:11" hidden="1" x14ac:dyDescent="0.25">
      <c r="A54" t="s">
        <v>69</v>
      </c>
      <c r="B54" t="s">
        <v>204</v>
      </c>
      <c r="C54" s="1" t="s">
        <v>205</v>
      </c>
      <c r="D54" s="1" t="s">
        <v>206</v>
      </c>
      <c r="E54" s="5"/>
      <c r="F54" s="5"/>
      <c r="G54" s="7"/>
      <c r="H54" s="7"/>
      <c r="I54" s="5"/>
      <c r="J54" s="10" t="e">
        <f>'PLAN CAP'!#REF!</f>
        <v>#REF!</v>
      </c>
      <c r="K54" s="13">
        <f>IF(G56=" "," ",(_xlfn.DAYS(PlanTrabajo[[#This Row],[FECHA DE FIN]],PlanTrabajo[[#This Row],[FECHA DE INICIO]])))</f>
        <v>0</v>
      </c>
    </row>
    <row r="55" spans="1:11" ht="30" hidden="1" x14ac:dyDescent="0.25">
      <c r="A55" t="s">
        <v>69</v>
      </c>
      <c r="B55" t="s">
        <v>204</v>
      </c>
      <c r="C55" s="1" t="s">
        <v>207</v>
      </c>
      <c r="D55" s="1" t="s">
        <v>208</v>
      </c>
      <c r="E55" s="5"/>
      <c r="F55" s="5"/>
      <c r="G55" s="7"/>
      <c r="H55" s="7"/>
      <c r="I55" s="5"/>
      <c r="J55" s="10" t="e">
        <f>'PLAN CAP'!#REF!</f>
        <v>#REF!</v>
      </c>
      <c r="K55" s="13">
        <f>IF(G57=" "," ",(_xlfn.DAYS(PlanTrabajo[[#This Row],[FECHA DE FIN]],PlanTrabajo[[#This Row],[FECHA DE INICIO]])))</f>
        <v>0</v>
      </c>
    </row>
    <row r="56" spans="1:11" ht="45" hidden="1" x14ac:dyDescent="0.25">
      <c r="A56" t="s">
        <v>69</v>
      </c>
      <c r="B56" t="s">
        <v>209</v>
      </c>
      <c r="C56" s="1" t="s">
        <v>210</v>
      </c>
      <c r="D56" s="1" t="s">
        <v>211</v>
      </c>
      <c r="E56" s="5"/>
      <c r="F56" s="5"/>
      <c r="G56" s="7"/>
      <c r="H56" s="7"/>
      <c r="I56" s="5"/>
      <c r="J56" s="10" t="e">
        <f>'PLAN CAP'!#REF!</f>
        <v>#REF!</v>
      </c>
      <c r="K56" s="13">
        <f>IF(G58=" "," ",(_xlfn.DAYS(PlanTrabajo[[#This Row],[FECHA DE FIN]],PlanTrabajo[[#This Row],[FECHA DE INICIO]])))</f>
        <v>0</v>
      </c>
    </row>
    <row r="57" spans="1:11" ht="45" hidden="1" x14ac:dyDescent="0.25">
      <c r="A57" t="s">
        <v>69</v>
      </c>
      <c r="B57" t="s">
        <v>70</v>
      </c>
      <c r="C57" s="1" t="s">
        <v>212</v>
      </c>
      <c r="D57" s="1" t="s">
        <v>213</v>
      </c>
      <c r="E57" s="5"/>
      <c r="F57" s="5"/>
      <c r="G57" s="7"/>
      <c r="H57" s="7"/>
      <c r="I57" s="5"/>
      <c r="J57" s="10" t="e">
        <f>'PLAN CAP'!#REF!</f>
        <v>#REF!</v>
      </c>
      <c r="K57" s="13">
        <f>IF(G59=" "," ",(_xlfn.DAYS(PlanTrabajo[[#This Row],[FECHA DE FIN]],PlanTrabajo[[#This Row],[FECHA DE INICIO]])))</f>
        <v>0</v>
      </c>
    </row>
    <row r="58" spans="1:11" ht="45" x14ac:dyDescent="0.25">
      <c r="A58" t="s">
        <v>65</v>
      </c>
      <c r="B58" t="s">
        <v>214</v>
      </c>
      <c r="C58" s="1" t="s">
        <v>215</v>
      </c>
      <c r="D58" s="1" t="s">
        <v>216</v>
      </c>
      <c r="E58" s="5"/>
      <c r="F58" s="5"/>
      <c r="G58" s="7"/>
      <c r="H58" s="7"/>
      <c r="I58" s="5"/>
      <c r="J58" s="10" t="e">
        <f>'PLAN CAP'!#REF!</f>
        <v>#REF!</v>
      </c>
      <c r="K58" s="13">
        <f>IF(G60=" "," ",(_xlfn.DAYS(PlanTrabajo[[#This Row],[FECHA DE FIN]],PlanTrabajo[[#This Row],[FECHA DE INICIO]])))</f>
        <v>0</v>
      </c>
    </row>
    <row r="59" spans="1:11" ht="30" x14ac:dyDescent="0.25">
      <c r="A59" t="s">
        <v>65</v>
      </c>
      <c r="B59" t="s">
        <v>214</v>
      </c>
      <c r="C59" s="1" t="s">
        <v>217</v>
      </c>
      <c r="D59" s="1" t="s">
        <v>218</v>
      </c>
      <c r="E59" s="5"/>
      <c r="F59" s="5"/>
      <c r="G59" s="7"/>
      <c r="H59" s="7"/>
      <c r="I59" s="5"/>
      <c r="J59" s="10" t="e">
        <f>'PLAN CAP'!#REF!</f>
        <v>#REF!</v>
      </c>
      <c r="K59" s="13">
        <f>IF(G61=" "," ",(_xlfn.DAYS(PlanTrabajo[[#This Row],[FECHA DE FIN]],PlanTrabajo[[#This Row],[FECHA DE INICIO]])))</f>
        <v>0</v>
      </c>
    </row>
    <row r="60" spans="1:11" ht="30" x14ac:dyDescent="0.25">
      <c r="A60" t="s">
        <v>65</v>
      </c>
      <c r="B60" t="s">
        <v>214</v>
      </c>
      <c r="C60" s="1" t="s">
        <v>219</v>
      </c>
      <c r="D60" s="1" t="s">
        <v>220</v>
      </c>
      <c r="E60" s="5"/>
      <c r="F60" s="5"/>
      <c r="G60" s="7"/>
      <c r="H60" s="7"/>
      <c r="I60" s="5"/>
      <c r="J60" s="10" t="e">
        <f>'PLAN CAP'!#REF!</f>
        <v>#REF!</v>
      </c>
      <c r="K60" s="13">
        <f>IF(G62=" "," ",(_xlfn.DAYS(PlanTrabajo[[#This Row],[FECHA DE FIN]],PlanTrabajo[[#This Row],[FECHA DE INICIO]])))</f>
        <v>0</v>
      </c>
    </row>
    <row r="61" spans="1:11" ht="30" x14ac:dyDescent="0.25">
      <c r="A61" t="s">
        <v>65</v>
      </c>
      <c r="B61" t="s">
        <v>214</v>
      </c>
      <c r="C61" s="1" t="s">
        <v>221</v>
      </c>
      <c r="D61" s="1" t="s">
        <v>222</v>
      </c>
      <c r="E61" s="5"/>
      <c r="F61" s="5"/>
      <c r="G61" s="7"/>
      <c r="H61" s="7"/>
      <c r="I61" s="5"/>
      <c r="J61" s="10" t="e">
        <f>'PLAN CAP'!#REF!</f>
        <v>#REF!</v>
      </c>
      <c r="K61" s="13">
        <f>IF(G63=" "," ",(_xlfn.DAYS(PlanTrabajo[[#This Row],[FECHA DE FIN]],PlanTrabajo[[#This Row],[FECHA DE INICIO]])))</f>
        <v>0</v>
      </c>
    </row>
    <row r="62" spans="1:11" ht="30" hidden="1" x14ac:dyDescent="0.25">
      <c r="A62" t="s">
        <v>101</v>
      </c>
      <c r="B62" t="s">
        <v>223</v>
      </c>
      <c r="C62" s="1" t="s">
        <v>224</v>
      </c>
      <c r="D62" s="1" t="s">
        <v>225</v>
      </c>
      <c r="E62" s="5"/>
      <c r="F62" s="5"/>
      <c r="G62" s="12">
        <v>43132</v>
      </c>
      <c r="H62" s="12">
        <v>43189</v>
      </c>
      <c r="I62" s="5"/>
      <c r="J62" s="10" t="e">
        <f>'PLAN CAP'!#REF!</f>
        <v>#REF!</v>
      </c>
      <c r="K62" s="13">
        <f>IF(G64=" "," ",(_xlfn.DAYS(PlanTrabajo[[#This Row],[FECHA DE FIN]],PlanTrabajo[[#This Row],[FECHA DE INICIO]])))</f>
        <v>57</v>
      </c>
    </row>
    <row r="63" spans="1:11" ht="30" hidden="1" x14ac:dyDescent="0.25">
      <c r="A63" t="s">
        <v>101</v>
      </c>
      <c r="B63" t="s">
        <v>223</v>
      </c>
      <c r="C63" s="1" t="s">
        <v>226</v>
      </c>
      <c r="D63" s="1" t="s">
        <v>227</v>
      </c>
      <c r="E63" s="5"/>
      <c r="F63" s="5"/>
      <c r="G63" s="12">
        <v>43132</v>
      </c>
      <c r="H63" s="12">
        <v>43189</v>
      </c>
      <c r="I63" s="5"/>
      <c r="J63" s="10" t="e">
        <f>'PLAN CAP'!#REF!</f>
        <v>#REF!</v>
      </c>
      <c r="K63" s="13">
        <f>IF(G65=" "," ",(_xlfn.DAYS(PlanTrabajo[[#This Row],[FECHA DE FIN]],PlanTrabajo[[#This Row],[FECHA DE INICIO]])))</f>
        <v>57</v>
      </c>
    </row>
    <row r="64" spans="1:11" ht="30" hidden="1" x14ac:dyDescent="0.25">
      <c r="A64" t="s">
        <v>101</v>
      </c>
      <c r="B64" t="s">
        <v>223</v>
      </c>
      <c r="C64" s="1" t="s">
        <v>228</v>
      </c>
      <c r="D64" s="1" t="s">
        <v>229</v>
      </c>
      <c r="E64" s="5"/>
      <c r="F64" s="5"/>
      <c r="G64" s="12">
        <v>43132</v>
      </c>
      <c r="H64" s="12">
        <v>43189</v>
      </c>
      <c r="I64" s="5"/>
      <c r="J64" s="10" t="e">
        <f>'PLAN CAP'!#REF!</f>
        <v>#REF!</v>
      </c>
      <c r="K64" s="13">
        <f>IF(G66=" "," ",(_xlfn.DAYS(PlanTrabajo[[#This Row],[FECHA DE FIN]],PlanTrabajo[[#This Row],[FECHA DE INICIO]])))</f>
        <v>57</v>
      </c>
    </row>
    <row r="65" spans="1:11" ht="30" hidden="1" x14ac:dyDescent="0.25">
      <c r="A65" t="s">
        <v>101</v>
      </c>
      <c r="B65" t="s">
        <v>223</v>
      </c>
      <c r="C65" s="1" t="s">
        <v>230</v>
      </c>
      <c r="D65" s="1" t="s">
        <v>231</v>
      </c>
      <c r="E65" s="5"/>
      <c r="F65" s="5"/>
      <c r="G65" s="12">
        <v>43132</v>
      </c>
      <c r="H65" s="12">
        <v>43189</v>
      </c>
      <c r="I65" s="5"/>
      <c r="J65" s="10" t="e">
        <f>'PLAN CAP'!#REF!</f>
        <v>#REF!</v>
      </c>
      <c r="K65" s="13">
        <f>IF(G67=" "," ",(_xlfn.DAYS(PlanTrabajo[[#This Row],[FECHA DE FIN]],PlanTrabajo[[#This Row],[FECHA DE INICIO]])))</f>
        <v>57</v>
      </c>
    </row>
    <row r="66" spans="1:11" ht="30" hidden="1" x14ac:dyDescent="0.25">
      <c r="A66" t="s">
        <v>101</v>
      </c>
      <c r="B66" t="s">
        <v>223</v>
      </c>
      <c r="C66" s="1" t="s">
        <v>232</v>
      </c>
      <c r="D66" s="1" t="s">
        <v>233</v>
      </c>
      <c r="E66" s="5"/>
      <c r="F66" s="5"/>
      <c r="G66" s="12">
        <v>43132</v>
      </c>
      <c r="H66" s="12">
        <v>43189</v>
      </c>
      <c r="I66" s="5"/>
      <c r="J66" s="10" t="e">
        <f>'PLAN CAP'!#REF!</f>
        <v>#REF!</v>
      </c>
      <c r="K66" s="13">
        <f>IF(G68=" "," ",(_xlfn.DAYS(PlanTrabajo[[#This Row],[FECHA DE FIN]],PlanTrabajo[[#This Row],[FECHA DE INICIO]])))</f>
        <v>57</v>
      </c>
    </row>
    <row r="67" spans="1:11" hidden="1" x14ac:dyDescent="0.25">
      <c r="A67" t="s">
        <v>101</v>
      </c>
      <c r="B67" t="s">
        <v>223</v>
      </c>
      <c r="C67" s="1" t="s">
        <v>234</v>
      </c>
      <c r="D67" s="1" t="s">
        <v>235</v>
      </c>
      <c r="E67" s="5"/>
      <c r="F67" s="5"/>
      <c r="G67" s="12">
        <v>43132</v>
      </c>
      <c r="H67" s="12">
        <v>43189</v>
      </c>
      <c r="I67" s="5"/>
      <c r="J67" s="10" t="e">
        <f>'PLAN CAP'!#REF!</f>
        <v>#REF!</v>
      </c>
      <c r="K67" s="13">
        <f>IF(G69=" "," ",(_xlfn.DAYS(PlanTrabajo[[#This Row],[FECHA DE FIN]],PlanTrabajo[[#This Row],[FECHA DE INICIO]])))</f>
        <v>57</v>
      </c>
    </row>
    <row r="68" spans="1:11" hidden="1" x14ac:dyDescent="0.25">
      <c r="A68" t="s">
        <v>101</v>
      </c>
      <c r="B68" t="s">
        <v>236</v>
      </c>
      <c r="C68" s="1" t="s">
        <v>237</v>
      </c>
      <c r="D68" s="1" t="s">
        <v>238</v>
      </c>
      <c r="E68" s="5"/>
      <c r="F68" s="5"/>
      <c r="G68" s="12">
        <v>43132</v>
      </c>
      <c r="H68" s="12">
        <v>43189</v>
      </c>
      <c r="I68" s="5"/>
      <c r="J68" s="10" t="e">
        <f>'PLAN CAP'!#REF!</f>
        <v>#REF!</v>
      </c>
      <c r="K68" s="13">
        <f>IF(G70=" "," ",(_xlfn.DAYS(PlanTrabajo[[#This Row],[FECHA DE FIN]],PlanTrabajo[[#This Row],[FECHA DE INICIO]])))</f>
        <v>57</v>
      </c>
    </row>
    <row r="69" spans="1:11" ht="30" hidden="1" x14ac:dyDescent="0.25">
      <c r="A69" t="s">
        <v>101</v>
      </c>
      <c r="B69" t="s">
        <v>236</v>
      </c>
      <c r="C69" s="1" t="s">
        <v>239</v>
      </c>
      <c r="D69" s="1" t="s">
        <v>240</v>
      </c>
      <c r="E69" s="5"/>
      <c r="F69" s="5"/>
      <c r="G69" s="12">
        <v>43132</v>
      </c>
      <c r="H69" s="12">
        <v>43189</v>
      </c>
      <c r="I69" s="5"/>
      <c r="J69" s="10" t="e">
        <f>'PLAN CAP'!#REF!</f>
        <v>#REF!</v>
      </c>
      <c r="K69" s="13">
        <f>IF(G71=" "," ",(_xlfn.DAYS(PlanTrabajo[[#This Row],[FECHA DE FIN]],PlanTrabajo[[#This Row],[FECHA DE INICIO]])))</f>
        <v>57</v>
      </c>
    </row>
    <row r="70" spans="1:11" ht="30" hidden="1" x14ac:dyDescent="0.25">
      <c r="A70" t="s">
        <v>101</v>
      </c>
      <c r="B70" t="s">
        <v>236</v>
      </c>
      <c r="C70" s="1" t="s">
        <v>241</v>
      </c>
      <c r="D70" s="1" t="s">
        <v>242</v>
      </c>
      <c r="E70" s="5"/>
      <c r="F70" s="5"/>
      <c r="G70" s="12">
        <v>43132</v>
      </c>
      <c r="H70" s="12">
        <v>43189</v>
      </c>
      <c r="I70" s="5"/>
      <c r="J70" s="10" t="e">
        <f>'PLAN CAP'!#REF!</f>
        <v>#REF!</v>
      </c>
      <c r="K70" s="13">
        <f>IF(G72=" "," ",(_xlfn.DAYS(PlanTrabajo[[#This Row],[FECHA DE FIN]],PlanTrabajo[[#This Row],[FECHA DE INICIO]])))</f>
        <v>57</v>
      </c>
    </row>
    <row r="71" spans="1:11" hidden="1" x14ac:dyDescent="0.25">
      <c r="A71" t="s">
        <v>101</v>
      </c>
      <c r="B71" t="s">
        <v>236</v>
      </c>
      <c r="C71" s="1" t="s">
        <v>243</v>
      </c>
      <c r="D71" s="1" t="s">
        <v>244</v>
      </c>
      <c r="E71" s="5"/>
      <c r="F71" s="5"/>
      <c r="G71" s="12">
        <v>43132</v>
      </c>
      <c r="H71" s="12">
        <v>43189</v>
      </c>
      <c r="I71" s="5"/>
      <c r="J71" s="10" t="e">
        <f>'PLAN CAP'!#REF!</f>
        <v>#REF!</v>
      </c>
      <c r="K71" s="13">
        <f>IF(G73=" "," ",(_xlfn.DAYS(PlanTrabajo[[#This Row],[FECHA DE FIN]],PlanTrabajo[[#This Row],[FECHA DE INICIO]])))</f>
        <v>57</v>
      </c>
    </row>
    <row r="72" spans="1:11" ht="30" hidden="1" x14ac:dyDescent="0.25">
      <c r="A72" t="s">
        <v>101</v>
      </c>
      <c r="B72" t="s">
        <v>236</v>
      </c>
      <c r="C72" s="1" t="s">
        <v>245</v>
      </c>
      <c r="D72" s="1" t="s">
        <v>246</v>
      </c>
      <c r="E72" s="5"/>
      <c r="F72" s="5"/>
      <c r="G72" s="12">
        <v>43132</v>
      </c>
      <c r="H72" s="12">
        <v>43189</v>
      </c>
      <c r="I72" s="5"/>
      <c r="J72" s="10" t="e">
        <f>'PLAN CAP'!#REF!</f>
        <v>#REF!</v>
      </c>
      <c r="K72" s="13">
        <f>IF(G74=" "," ",(_xlfn.DAYS(PlanTrabajo[[#This Row],[FECHA DE FIN]],PlanTrabajo[[#This Row],[FECHA DE INICIO]])))</f>
        <v>57</v>
      </c>
    </row>
    <row r="73" spans="1:11" ht="30" hidden="1" x14ac:dyDescent="0.25">
      <c r="A73" t="s">
        <v>101</v>
      </c>
      <c r="B73" t="s">
        <v>236</v>
      </c>
      <c r="C73" s="1" t="s">
        <v>247</v>
      </c>
      <c r="D73" s="1" t="s">
        <v>248</v>
      </c>
      <c r="E73" s="5"/>
      <c r="F73" s="5"/>
      <c r="G73" s="12">
        <v>43132</v>
      </c>
      <c r="H73" s="12">
        <v>43189</v>
      </c>
      <c r="I73" s="5"/>
      <c r="J73" s="10" t="e">
        <f>'PLAN CAP'!#REF!</f>
        <v>#REF!</v>
      </c>
      <c r="K73" s="13">
        <f>IF(G75=" "," ",(_xlfn.DAYS(PlanTrabajo[[#This Row],[FECHA DE FIN]],PlanTrabajo[[#This Row],[FECHA DE INICIO]])))</f>
        <v>57</v>
      </c>
    </row>
    <row r="74" spans="1:11" ht="30" hidden="1" x14ac:dyDescent="0.25">
      <c r="A74" t="s">
        <v>101</v>
      </c>
      <c r="B74" t="s">
        <v>236</v>
      </c>
      <c r="C74" s="1" t="s">
        <v>249</v>
      </c>
      <c r="D74" s="1" t="s">
        <v>250</v>
      </c>
      <c r="E74" s="5"/>
      <c r="F74" s="5"/>
      <c r="G74" s="12">
        <v>43132</v>
      </c>
      <c r="H74" s="12">
        <v>43189</v>
      </c>
      <c r="I74" s="5"/>
      <c r="J74" s="10" t="e">
        <f>'PLAN CAP'!#REF!</f>
        <v>#REF!</v>
      </c>
      <c r="K74" s="13">
        <f>IF(G76=" "," ",(_xlfn.DAYS(PlanTrabajo[[#This Row],[FECHA DE FIN]],PlanTrabajo[[#This Row],[FECHA DE INICIO]])))</f>
        <v>57</v>
      </c>
    </row>
    <row r="75" spans="1:11" ht="30" hidden="1" x14ac:dyDescent="0.25">
      <c r="A75" t="s">
        <v>101</v>
      </c>
      <c r="B75" t="s">
        <v>236</v>
      </c>
      <c r="C75" s="1" t="s">
        <v>251</v>
      </c>
      <c r="D75" s="1" t="s">
        <v>252</v>
      </c>
      <c r="E75" s="5"/>
      <c r="F75" s="5"/>
      <c r="G75" s="12">
        <v>43132</v>
      </c>
      <c r="H75" s="12">
        <v>43189</v>
      </c>
      <c r="I75" s="5"/>
      <c r="J75" s="10" t="e">
        <f>'PLAN CAP'!#REF!</f>
        <v>#REF!</v>
      </c>
      <c r="K75" s="13">
        <f>IF(G77=" "," ",(_xlfn.DAYS(PlanTrabajo[[#This Row],[FECHA DE FIN]],PlanTrabajo[[#This Row],[FECHA DE INICIO]])))</f>
        <v>57</v>
      </c>
    </row>
    <row r="76" spans="1:11" hidden="1" x14ac:dyDescent="0.25">
      <c r="A76" t="s">
        <v>101</v>
      </c>
      <c r="B76" t="s">
        <v>253</v>
      </c>
      <c r="C76" s="1" t="s">
        <v>254</v>
      </c>
      <c r="D76" s="1" t="s">
        <v>255</v>
      </c>
      <c r="E76" s="5"/>
      <c r="F76" s="5"/>
      <c r="G76" s="7"/>
      <c r="H76" s="7"/>
      <c r="I76" s="5"/>
      <c r="J76" s="10" t="e">
        <f>'PLAN CAP'!#REF!</f>
        <v>#REF!</v>
      </c>
      <c r="K76" s="13">
        <f>IF(G78=" "," ",(_xlfn.DAYS(PlanTrabajo[[#This Row],[FECHA DE FIN]],PlanTrabajo[[#This Row],[FECHA DE INICIO]])))</f>
        <v>0</v>
      </c>
    </row>
    <row r="77" spans="1:11" hidden="1" x14ac:dyDescent="0.25">
      <c r="A77" t="s">
        <v>101</v>
      </c>
      <c r="B77" t="s">
        <v>253</v>
      </c>
      <c r="C77" s="1" t="s">
        <v>256</v>
      </c>
      <c r="D77" s="1" t="s">
        <v>257</v>
      </c>
      <c r="E77" s="5"/>
      <c r="F77" s="5"/>
      <c r="G77" s="7"/>
      <c r="H77" s="7"/>
      <c r="I77" s="5"/>
      <c r="J77" s="10" t="e">
        <f>'PLAN CAP'!#REF!</f>
        <v>#REF!</v>
      </c>
      <c r="K77" s="13">
        <f>IF(G79=" "," ",(_xlfn.DAYS(PlanTrabajo[[#This Row],[FECHA DE FIN]],PlanTrabajo[[#This Row],[FECHA DE INICIO]])))</f>
        <v>0</v>
      </c>
    </row>
    <row r="78" spans="1:11" ht="30" hidden="1" x14ac:dyDescent="0.25">
      <c r="A78" t="s">
        <v>101</v>
      </c>
      <c r="B78" t="s">
        <v>253</v>
      </c>
      <c r="C78" s="1" t="s">
        <v>258</v>
      </c>
      <c r="D78" s="1" t="s">
        <v>259</v>
      </c>
      <c r="E78" s="5"/>
      <c r="F78" s="5"/>
      <c r="G78" s="7"/>
      <c r="H78" s="7"/>
      <c r="I78" s="5"/>
      <c r="J78" s="10" t="e">
        <f>'PLAN CAP'!#REF!</f>
        <v>#REF!</v>
      </c>
      <c r="K78" s="13">
        <f>IF(G80=" "," ",(_xlfn.DAYS(PlanTrabajo[[#This Row],[FECHA DE FIN]],PlanTrabajo[[#This Row],[FECHA DE INICIO]])))</f>
        <v>0</v>
      </c>
    </row>
    <row r="79" spans="1:11" ht="30" hidden="1" x14ac:dyDescent="0.25">
      <c r="A79" t="s">
        <v>69</v>
      </c>
      <c r="B79" t="s">
        <v>260</v>
      </c>
      <c r="C79" s="1" t="s">
        <v>261</v>
      </c>
      <c r="D79" s="1" t="s">
        <v>262</v>
      </c>
      <c r="E79" s="5"/>
      <c r="F79" s="5"/>
      <c r="G79" s="7"/>
      <c r="H79" s="7"/>
      <c r="I79" s="5"/>
      <c r="J79" s="10" t="e">
        <f>'PLAN CAP'!#REF!</f>
        <v>#REF!</v>
      </c>
      <c r="K79" s="13">
        <f>IF(G81=" "," ",(_xlfn.DAYS(PlanTrabajo[[#This Row],[FECHA DE FIN]],PlanTrabajo[[#This Row],[FECHA DE INICIO]])))</f>
        <v>0</v>
      </c>
    </row>
    <row r="80" spans="1:11" hidden="1" x14ac:dyDescent="0.25">
      <c r="A80" t="s">
        <v>101</v>
      </c>
      <c r="B80" t="s">
        <v>263</v>
      </c>
      <c r="C80" s="1" t="s">
        <v>264</v>
      </c>
      <c r="D80" s="1" t="s">
        <v>265</v>
      </c>
      <c r="E80" s="5"/>
      <c r="F80" s="5"/>
      <c r="G80" s="12">
        <v>43132</v>
      </c>
      <c r="H80" s="12">
        <v>43189</v>
      </c>
      <c r="I80" s="5"/>
      <c r="J80" s="10" t="e">
        <f>'PLAN CAP'!#REF!</f>
        <v>#REF!</v>
      </c>
      <c r="K80" s="13">
        <f>IF(G82=" "," ",(_xlfn.DAYS(PlanTrabajo[[#This Row],[FECHA DE FIN]],PlanTrabajo[[#This Row],[FECHA DE INICIO]])))</f>
        <v>57</v>
      </c>
    </row>
    <row r="81" spans="1:12" ht="30" hidden="1" x14ac:dyDescent="0.25">
      <c r="A81" t="s">
        <v>101</v>
      </c>
      <c r="B81" t="s">
        <v>263</v>
      </c>
      <c r="C81" s="1" t="s">
        <v>266</v>
      </c>
      <c r="D81" s="1" t="s">
        <v>267</v>
      </c>
      <c r="E81" s="5"/>
      <c r="F81" s="5"/>
      <c r="G81" s="12">
        <v>43132</v>
      </c>
      <c r="H81" s="12">
        <v>43189</v>
      </c>
      <c r="I81" s="5"/>
      <c r="J81" s="10" t="e">
        <f>'PLAN CAP'!#REF!</f>
        <v>#REF!</v>
      </c>
      <c r="K81" s="13">
        <f>IF(G83=" "," ",(_xlfn.DAYS(PlanTrabajo[[#This Row],[FECHA DE FIN]],PlanTrabajo[[#This Row],[FECHA DE INICIO]])))</f>
        <v>57</v>
      </c>
    </row>
    <row r="82" spans="1:12" ht="30" hidden="1" x14ac:dyDescent="0.25">
      <c r="A82" t="s">
        <v>101</v>
      </c>
      <c r="B82" t="s">
        <v>263</v>
      </c>
      <c r="C82" s="1" t="s">
        <v>268</v>
      </c>
      <c r="D82" s="1" t="s">
        <v>269</v>
      </c>
      <c r="E82" s="5"/>
      <c r="F82" s="5"/>
      <c r="G82" s="12">
        <v>43132</v>
      </c>
      <c r="H82" s="12">
        <v>43189</v>
      </c>
      <c r="I82" s="5"/>
      <c r="J82" s="10" t="e">
        <f>'PLAN CAP'!#REF!</f>
        <v>#REF!</v>
      </c>
      <c r="K82" s="13">
        <f>IF(G84=" "," ",(_xlfn.DAYS(PlanTrabajo[[#This Row],[FECHA DE FIN]],PlanTrabajo[[#This Row],[FECHA DE INICIO]])))</f>
        <v>57</v>
      </c>
    </row>
    <row r="83" spans="1:12" ht="30" hidden="1" x14ac:dyDescent="0.25">
      <c r="A83" t="s">
        <v>101</v>
      </c>
      <c r="B83" t="s">
        <v>263</v>
      </c>
      <c r="C83" s="1" t="s">
        <v>270</v>
      </c>
      <c r="D83" s="1" t="s">
        <v>271</v>
      </c>
      <c r="E83" s="5"/>
      <c r="F83" s="5"/>
      <c r="G83" s="12">
        <v>43132</v>
      </c>
      <c r="H83" s="12">
        <v>43189</v>
      </c>
      <c r="I83" s="5"/>
      <c r="J83" s="10" t="e">
        <f>'PLAN CAP'!#REF!</f>
        <v>#REF!</v>
      </c>
      <c r="K83" s="13">
        <f>IF(G85=" "," ",(_xlfn.DAYS(PlanTrabajo[[#This Row],[FECHA DE FIN]],PlanTrabajo[[#This Row],[FECHA DE INICIO]])))</f>
        <v>57</v>
      </c>
    </row>
    <row r="84" spans="1:12" hidden="1" x14ac:dyDescent="0.25">
      <c r="A84" t="s">
        <v>101</v>
      </c>
      <c r="B84" t="s">
        <v>263</v>
      </c>
      <c r="C84" s="1" t="s">
        <v>272</v>
      </c>
      <c r="D84" s="1" t="s">
        <v>273</v>
      </c>
      <c r="E84" s="5"/>
      <c r="F84" s="5"/>
      <c r="G84" s="12">
        <v>43132</v>
      </c>
      <c r="H84" s="12">
        <v>43189</v>
      </c>
      <c r="I84" s="5"/>
      <c r="J84" s="10" t="e">
        <f>'PLAN CAP'!#REF!</f>
        <v>#REF!</v>
      </c>
      <c r="K84" s="13">
        <f>IF(G86=" "," ",(_xlfn.DAYS(PlanTrabajo[[#This Row],[FECHA DE FIN]],PlanTrabajo[[#This Row],[FECHA DE INICIO]])))</f>
        <v>57</v>
      </c>
    </row>
    <row r="85" spans="1:12" ht="30" hidden="1" x14ac:dyDescent="0.25">
      <c r="A85" t="s">
        <v>101</v>
      </c>
      <c r="B85" t="s">
        <v>274</v>
      </c>
      <c r="C85" s="1" t="s">
        <v>275</v>
      </c>
      <c r="D85" s="1" t="s">
        <v>276</v>
      </c>
      <c r="E85" s="5"/>
      <c r="F85" s="5"/>
      <c r="G85" s="12">
        <v>43132</v>
      </c>
      <c r="H85" s="12">
        <v>43189</v>
      </c>
      <c r="I85" s="5"/>
      <c r="J85" s="10" t="e">
        <f>'PLAN CAP'!#REF!</f>
        <v>#REF!</v>
      </c>
      <c r="K85" s="13">
        <f>IF(G87=" "," ",(_xlfn.DAYS(PlanTrabajo[[#This Row],[FECHA DE FIN]],PlanTrabajo[[#This Row],[FECHA DE INICIO]])))</f>
        <v>57</v>
      </c>
    </row>
    <row r="86" spans="1:12" ht="45" hidden="1" x14ac:dyDescent="0.25">
      <c r="A86" t="s">
        <v>101</v>
      </c>
      <c r="B86" t="s">
        <v>274</v>
      </c>
      <c r="C86" s="1" t="s">
        <v>277</v>
      </c>
      <c r="D86" s="1" t="s">
        <v>278</v>
      </c>
      <c r="E86" s="5"/>
      <c r="F86" s="5"/>
      <c r="G86" s="12">
        <v>43132</v>
      </c>
      <c r="H86" s="12">
        <v>43189</v>
      </c>
      <c r="I86" s="5"/>
      <c r="J86" s="10" t="e">
        <f>'PLAN CAP'!#REF!</f>
        <v>#REF!</v>
      </c>
      <c r="K86" s="13">
        <f>IF(G88=" "," ",(_xlfn.DAYS(PlanTrabajo[[#This Row],[FECHA DE FIN]],PlanTrabajo[[#This Row],[FECHA DE INICIO]])))</f>
        <v>57</v>
      </c>
    </row>
    <row r="87" spans="1:12" ht="30" hidden="1" x14ac:dyDescent="0.25">
      <c r="A87" t="s">
        <v>101</v>
      </c>
      <c r="B87" t="s">
        <v>274</v>
      </c>
      <c r="C87" s="1" t="s">
        <v>279</v>
      </c>
      <c r="D87" s="1" t="s">
        <v>280</v>
      </c>
      <c r="E87" s="5"/>
      <c r="F87" s="5"/>
      <c r="G87" s="12">
        <v>43132</v>
      </c>
      <c r="H87" s="12">
        <v>43189</v>
      </c>
      <c r="I87" s="5"/>
      <c r="J87" s="10" t="e">
        <f>'PLAN CAP'!#REF!</f>
        <v>#REF!</v>
      </c>
      <c r="K87" s="13">
        <f>IF(G89=" "," ",(_xlfn.DAYS(PlanTrabajo[[#This Row],[FECHA DE FIN]],PlanTrabajo[[#This Row],[FECHA DE INICIO]])))</f>
        <v>57</v>
      </c>
    </row>
    <row r="88" spans="1:12" hidden="1" x14ac:dyDescent="0.25">
      <c r="A88" t="s">
        <v>101</v>
      </c>
      <c r="B88" t="s">
        <v>274</v>
      </c>
      <c r="C88" s="1" t="s">
        <v>281</v>
      </c>
      <c r="D88" s="1" t="s">
        <v>271</v>
      </c>
      <c r="E88" s="5"/>
      <c r="F88" s="5"/>
      <c r="G88" s="12">
        <v>43132</v>
      </c>
      <c r="H88" s="12">
        <v>43189</v>
      </c>
      <c r="I88" s="5"/>
      <c r="J88" s="10" t="e">
        <f>'PLAN CAP'!#REF!</f>
        <v>#REF!</v>
      </c>
      <c r="K88" s="13">
        <f>IF(G90=" "," ",(_xlfn.DAYS(PlanTrabajo[[#This Row],[FECHA DE FIN]],PlanTrabajo[[#This Row],[FECHA DE INICIO]])))</f>
        <v>57</v>
      </c>
    </row>
    <row r="89" spans="1:12" hidden="1" x14ac:dyDescent="0.25">
      <c r="A89" t="s">
        <v>101</v>
      </c>
      <c r="B89" t="s">
        <v>274</v>
      </c>
      <c r="C89" s="1" t="s">
        <v>282</v>
      </c>
      <c r="D89" s="1" t="s">
        <v>283</v>
      </c>
      <c r="E89" s="5"/>
      <c r="F89" s="5"/>
      <c r="G89" s="7"/>
      <c r="H89" s="7"/>
      <c r="I89" s="5"/>
      <c r="J89" s="10" t="e">
        <f>'PLAN CAP'!#REF!</f>
        <v>#REF!</v>
      </c>
      <c r="K89" s="13">
        <f>IF(G91=" "," ",(_xlfn.DAYS(PlanTrabajo[[#This Row],[FECHA DE FIN]],PlanTrabajo[[#This Row],[FECHA DE INICIO]])))</f>
        <v>0</v>
      </c>
      <c r="L89" t="s">
        <v>284</v>
      </c>
    </row>
    <row r="90" spans="1:12" hidden="1" x14ac:dyDescent="0.25">
      <c r="A90" t="s">
        <v>101</v>
      </c>
      <c r="B90" t="s">
        <v>285</v>
      </c>
      <c r="C90" s="1" t="s">
        <v>286</v>
      </c>
      <c r="D90" s="1" t="s">
        <v>287</v>
      </c>
      <c r="E90" s="5"/>
      <c r="F90" s="5"/>
      <c r="G90" s="7"/>
      <c r="H90" s="7"/>
      <c r="I90" s="5"/>
      <c r="J90" s="10" t="e">
        <f>'PLAN CAP'!#REF!</f>
        <v>#REF!</v>
      </c>
      <c r="K90" s="13">
        <f>IF(G92=" "," ",(_xlfn.DAYS(PlanTrabajo[[#This Row],[FECHA DE FIN]],PlanTrabajo[[#This Row],[FECHA DE INICIO]])))</f>
        <v>0</v>
      </c>
    </row>
    <row r="91" spans="1:12" ht="30" hidden="1" x14ac:dyDescent="0.25">
      <c r="A91" t="s">
        <v>101</v>
      </c>
      <c r="B91" t="s">
        <v>285</v>
      </c>
      <c r="C91" s="1" t="s">
        <v>288</v>
      </c>
      <c r="D91" s="1" t="s">
        <v>289</v>
      </c>
      <c r="E91" s="5"/>
      <c r="F91" s="5"/>
      <c r="G91" s="7"/>
      <c r="H91" s="7"/>
      <c r="I91" s="5"/>
      <c r="J91" s="10" t="e">
        <f>'PLAN CAP'!#REF!</f>
        <v>#REF!</v>
      </c>
      <c r="K91" s="13">
        <f>IF(G93=" "," ",(_xlfn.DAYS(PlanTrabajo[[#This Row],[FECHA DE FIN]],PlanTrabajo[[#This Row],[FECHA DE INICIO]])))</f>
        <v>0</v>
      </c>
    </row>
    <row r="92" spans="1:12" hidden="1" x14ac:dyDescent="0.25">
      <c r="A92" t="s">
        <v>101</v>
      </c>
      <c r="B92" t="s">
        <v>285</v>
      </c>
      <c r="C92" s="1" t="s">
        <v>290</v>
      </c>
      <c r="D92" s="1" t="s">
        <v>291</v>
      </c>
      <c r="E92" s="5"/>
      <c r="F92" s="5"/>
      <c r="G92" s="7"/>
      <c r="H92" s="7"/>
      <c r="I92" s="5"/>
      <c r="J92" s="10" t="e">
        <f>'PLAN CAP'!#REF!</f>
        <v>#REF!</v>
      </c>
      <c r="K92" s="13">
        <f>IF(G94=" "," ",(_xlfn.DAYS(PlanTrabajo[[#This Row],[FECHA DE FIN]],PlanTrabajo[[#This Row],[FECHA DE INICIO]])))</f>
        <v>0</v>
      </c>
    </row>
    <row r="93" spans="1:12" hidden="1" x14ac:dyDescent="0.25">
      <c r="A93" t="s">
        <v>101</v>
      </c>
      <c r="B93" t="s">
        <v>285</v>
      </c>
      <c r="C93" s="1" t="s">
        <v>292</v>
      </c>
      <c r="D93" s="1" t="s">
        <v>293</v>
      </c>
      <c r="E93" s="5"/>
      <c r="F93" s="5"/>
      <c r="G93" s="7"/>
      <c r="H93" s="7"/>
      <c r="I93" s="5"/>
      <c r="J93" s="10" t="e">
        <f>'PLAN CAP'!#REF!</f>
        <v>#REF!</v>
      </c>
      <c r="K93" s="13">
        <f>IF(G95=" "," ",(_xlfn.DAYS(PlanTrabajo[[#This Row],[FECHA DE FIN]],PlanTrabajo[[#This Row],[FECHA DE INICIO]])))</f>
        <v>0</v>
      </c>
      <c r="L93" t="s">
        <v>294</v>
      </c>
    </row>
    <row r="94" spans="1:12" hidden="1" x14ac:dyDescent="0.25">
      <c r="E94" s="5"/>
      <c r="F94" s="5"/>
      <c r="G94" s="7"/>
      <c r="H94" s="7"/>
      <c r="I94" s="5"/>
      <c r="J94" s="10" t="e">
        <f>'PLAN CAP'!#REF!</f>
        <v>#REF!</v>
      </c>
      <c r="K94" s="13">
        <f>IF(G96=" "," ",(_xlfn.DAYS(PlanTrabajo[[#This Row],[FECHA DE FIN]],PlanTrabajo[[#This Row],[FECHA DE INICIO]])))</f>
        <v>0</v>
      </c>
    </row>
    <row r="95" spans="1:12" hidden="1" x14ac:dyDescent="0.25">
      <c r="E95" s="5"/>
      <c r="F95" s="5"/>
      <c r="G95" s="7"/>
      <c r="H95" s="7"/>
      <c r="I95" s="5"/>
      <c r="J95" s="10" t="e">
        <f>'PLAN CAP'!#REF!</f>
        <v>#REF!</v>
      </c>
      <c r="K95" s="13">
        <f>IF(G97=" "," ",(_xlfn.DAYS(PlanTrabajo[[#This Row],[FECHA DE FIN]],PlanTrabajo[[#This Row],[FECHA DE INICIO]])))</f>
        <v>0</v>
      </c>
    </row>
    <row r="96" spans="1:12" hidden="1" x14ac:dyDescent="0.25">
      <c r="E96" s="5"/>
      <c r="F96" s="5"/>
      <c r="G96" s="7"/>
      <c r="H96" s="7"/>
      <c r="I96" s="5"/>
      <c r="J96" s="10" t="e">
        <f>'PLAN CAP'!#REF!</f>
        <v>#REF!</v>
      </c>
      <c r="K96" s="13">
        <f>IF(G98=" "," ",(_xlfn.DAYS(PlanTrabajo[[#This Row],[FECHA DE FIN]],PlanTrabajo[[#This Row],[FECHA DE INICIO]])))</f>
        <v>0</v>
      </c>
    </row>
    <row r="97" spans="5:11" hidden="1" x14ac:dyDescent="0.25">
      <c r="E97" s="5"/>
      <c r="F97" s="5"/>
      <c r="G97" s="7"/>
      <c r="H97" s="7"/>
      <c r="I97" s="5"/>
      <c r="J97" s="10" t="e">
        <f>'PLAN CAP'!#REF!</f>
        <v>#REF!</v>
      </c>
      <c r="K97" s="13">
        <f>IF(G99=" "," ",(_xlfn.DAYS(PlanTrabajo[[#This Row],[FECHA DE FIN]],PlanTrabajo[[#This Row],[FECHA DE INICIO]])))</f>
        <v>0</v>
      </c>
    </row>
    <row r="98" spans="5:11" hidden="1" x14ac:dyDescent="0.25">
      <c r="E98" s="5"/>
      <c r="F98" s="5"/>
      <c r="G98" s="7"/>
      <c r="H98" s="7"/>
      <c r="I98" s="5"/>
      <c r="J98" s="10" t="e">
        <f>'PLAN CAP'!#REF!</f>
        <v>#REF!</v>
      </c>
      <c r="K98" s="13">
        <f>IF(G100=" "," ",(_xlfn.DAYS(PlanTrabajo[[#This Row],[FECHA DE FIN]],PlanTrabajo[[#This Row],[FECHA DE INICIO]])))</f>
        <v>0</v>
      </c>
    </row>
    <row r="99" spans="5:11" hidden="1" x14ac:dyDescent="0.25">
      <c r="E99" s="5"/>
      <c r="F99" s="5"/>
      <c r="G99" s="7"/>
      <c r="H99" s="7"/>
      <c r="I99" s="5"/>
      <c r="J99" s="10" t="e">
        <f>'PLAN CAP'!#REF!</f>
        <v>#REF!</v>
      </c>
      <c r="K99" s="13">
        <f>IF(G101=" "," ",(_xlfn.DAYS(PlanTrabajo[[#This Row],[FECHA DE FIN]],PlanTrabajo[[#This Row],[FECHA DE INICIO]])))</f>
        <v>0</v>
      </c>
    </row>
    <row r="100" spans="5:11" hidden="1" x14ac:dyDescent="0.25">
      <c r="E100" s="5"/>
      <c r="F100" s="5"/>
      <c r="G100" s="7"/>
      <c r="H100" s="7"/>
      <c r="I100" s="5"/>
      <c r="J100" s="10" t="e">
        <f>'PLAN CAP'!#REF!</f>
        <v>#REF!</v>
      </c>
      <c r="K100" s="13">
        <f>IF(G102=" "," ",(_xlfn.DAYS(PlanTrabajo[[#This Row],[FECHA DE FIN]],PlanTrabajo[[#This Row],[FECHA DE INICIO]])))</f>
        <v>0</v>
      </c>
    </row>
    <row r="101" spans="5:11" hidden="1" x14ac:dyDescent="0.25">
      <c r="E101" s="5"/>
      <c r="F101" s="5"/>
      <c r="G101" s="7"/>
      <c r="H101" s="7"/>
      <c r="I101" s="5"/>
      <c r="J101" s="10" t="e">
        <f>'PLAN CAP'!#REF!</f>
        <v>#REF!</v>
      </c>
      <c r="K101" s="13">
        <f>IF(G103=" "," ",(_xlfn.DAYS(PlanTrabajo[[#This Row],[FECHA DE FIN]],PlanTrabajo[[#This Row],[FECHA DE INICIO]])))</f>
        <v>0</v>
      </c>
    </row>
    <row r="102" spans="5:11" hidden="1" x14ac:dyDescent="0.25">
      <c r="E102" s="5"/>
      <c r="F102" s="5"/>
      <c r="G102" s="7"/>
      <c r="H102" s="7"/>
      <c r="I102" s="5"/>
      <c r="J102" s="10" t="e">
        <f>'PLAN CAP'!#REF!</f>
        <v>#REF!</v>
      </c>
      <c r="K102" s="13">
        <f>IF(G104=" "," ",(_xlfn.DAYS(PlanTrabajo[[#This Row],[FECHA DE FIN]],PlanTrabajo[[#This Row],[FECHA DE INICIO]])))</f>
        <v>0</v>
      </c>
    </row>
    <row r="103" spans="5:11" hidden="1" x14ac:dyDescent="0.25">
      <c r="E103" s="5"/>
      <c r="F103" s="5"/>
      <c r="G103" s="7"/>
      <c r="H103" s="7"/>
      <c r="I103" s="5"/>
      <c r="J103" s="10" t="e">
        <f>'PLAN CAP'!#REF!</f>
        <v>#REF!</v>
      </c>
      <c r="K103" s="13">
        <f>IF(G105=" "," ",(_xlfn.DAYS(PlanTrabajo[[#This Row],[FECHA DE FIN]],PlanTrabajo[[#This Row],[FECHA DE INICIO]])))</f>
        <v>0</v>
      </c>
    </row>
    <row r="104" spans="5:11" hidden="1" x14ac:dyDescent="0.25">
      <c r="E104" s="5"/>
      <c r="F104" s="5"/>
      <c r="G104" s="7"/>
      <c r="H104" s="7"/>
      <c r="I104" s="5"/>
      <c r="J104" s="10" t="e">
        <f>'PLAN CAP'!#REF!</f>
        <v>#REF!</v>
      </c>
      <c r="K104" s="13">
        <f>IF(G106=" "," ",(_xlfn.DAYS(PlanTrabajo[[#This Row],[FECHA DE FIN]],PlanTrabajo[[#This Row],[FECHA DE INICIO]])))</f>
        <v>0</v>
      </c>
    </row>
    <row r="105" spans="5:11" hidden="1" x14ac:dyDescent="0.25">
      <c r="E105" s="5"/>
      <c r="F105" s="5"/>
      <c r="G105" s="7"/>
      <c r="H105" s="7"/>
      <c r="I105" s="5"/>
      <c r="J105" s="10" t="e">
        <f>'PLAN CAP'!#REF!</f>
        <v>#REF!</v>
      </c>
      <c r="K105" s="13">
        <f>IF(G107=" "," ",(_xlfn.DAYS(PlanTrabajo[[#This Row],[FECHA DE FIN]],PlanTrabajo[[#This Row],[FECHA DE INICIO]])))</f>
        <v>0</v>
      </c>
    </row>
    <row r="106" spans="5:11" hidden="1" x14ac:dyDescent="0.25">
      <c r="E106" s="5"/>
      <c r="F106" s="5"/>
      <c r="G106" s="7"/>
      <c r="H106" s="7"/>
      <c r="I106" s="5"/>
      <c r="J106" s="10" t="e">
        <f>'PLAN CAP'!#REF!</f>
        <v>#REF!</v>
      </c>
      <c r="K106" s="13">
        <f>IF(G108=" "," ",(_xlfn.DAYS(PlanTrabajo[[#This Row],[FECHA DE FIN]],PlanTrabajo[[#This Row],[FECHA DE INICIO]])))</f>
        <v>0</v>
      </c>
    </row>
    <row r="107" spans="5:11" hidden="1" x14ac:dyDescent="0.25">
      <c r="E107" s="5"/>
      <c r="F107" s="5"/>
      <c r="G107" s="7"/>
      <c r="H107" s="7"/>
      <c r="I107" s="5"/>
      <c r="J107" s="10" t="e">
        <f>'PLAN CAP'!#REF!</f>
        <v>#REF!</v>
      </c>
      <c r="K107" s="13">
        <f>IF(G109=" "," ",(_xlfn.DAYS(PlanTrabajo[[#This Row],[FECHA DE FIN]],PlanTrabajo[[#This Row],[FECHA DE INICIO]])))</f>
        <v>0</v>
      </c>
    </row>
    <row r="108" spans="5:11" hidden="1" x14ac:dyDescent="0.25">
      <c r="E108" s="5"/>
      <c r="F108" s="5"/>
      <c r="G108" s="7"/>
      <c r="H108" s="7"/>
      <c r="I108" s="5"/>
      <c r="J108" s="10" t="e">
        <f>'PLAN CAP'!#REF!</f>
        <v>#REF!</v>
      </c>
      <c r="K108" s="13">
        <f>IF(G110=" "," ",(_xlfn.DAYS(PlanTrabajo[[#This Row],[FECHA DE FIN]],PlanTrabajo[[#This Row],[FECHA DE INICIO]])))</f>
        <v>0</v>
      </c>
    </row>
    <row r="109" spans="5:11" hidden="1" x14ac:dyDescent="0.25">
      <c r="E109" s="5"/>
      <c r="F109" s="5"/>
      <c r="G109" s="7"/>
      <c r="H109" s="7"/>
      <c r="I109" s="5"/>
      <c r="J109" s="10" t="e">
        <f>'PLAN CAP'!#REF!</f>
        <v>#REF!</v>
      </c>
      <c r="K109" s="13">
        <f>IF(G111=" "," ",(_xlfn.DAYS(PlanTrabajo[[#This Row],[FECHA DE FIN]],PlanTrabajo[[#This Row],[FECHA DE INICIO]])))</f>
        <v>0</v>
      </c>
    </row>
    <row r="110" spans="5:11" hidden="1" x14ac:dyDescent="0.25">
      <c r="E110" s="5"/>
      <c r="F110" s="5"/>
      <c r="G110" s="7"/>
      <c r="H110" s="7"/>
      <c r="I110" s="5"/>
      <c r="J110" s="10" t="e">
        <f>'PLAN CAP'!#REF!</f>
        <v>#REF!</v>
      </c>
      <c r="K110" s="13">
        <f>IF(G112=" "," ",(_xlfn.DAYS(PlanTrabajo[[#This Row],[FECHA DE FIN]],PlanTrabajo[[#This Row],[FECHA DE INICIO]])))</f>
        <v>0</v>
      </c>
    </row>
    <row r="111" spans="5:11" hidden="1" x14ac:dyDescent="0.25">
      <c r="E111" s="5"/>
      <c r="F111" s="5"/>
      <c r="G111" s="7"/>
      <c r="H111" s="7"/>
      <c r="I111" s="5"/>
      <c r="J111" s="10" t="e">
        <f>'PLAN CAP'!#REF!</f>
        <v>#REF!</v>
      </c>
      <c r="K111" s="13">
        <f>IF(G113=" "," ",(_xlfn.DAYS(PlanTrabajo[[#This Row],[FECHA DE FIN]],PlanTrabajo[[#This Row],[FECHA DE INICIO]])))</f>
        <v>0</v>
      </c>
    </row>
    <row r="112" spans="5:11" hidden="1" x14ac:dyDescent="0.25">
      <c r="E112" s="5"/>
      <c r="F112" s="5"/>
      <c r="G112" s="7"/>
      <c r="H112" s="7"/>
      <c r="I112" s="5"/>
      <c r="J112" s="10" t="e">
        <f>'PLAN CAP'!#REF!</f>
        <v>#REF!</v>
      </c>
      <c r="K112" s="13">
        <f>IF(G114=" "," ",(_xlfn.DAYS(PlanTrabajo[[#This Row],[FECHA DE FIN]],PlanTrabajo[[#This Row],[FECHA DE INICIO]])))</f>
        <v>0</v>
      </c>
    </row>
    <row r="113" spans="5:11" hidden="1" x14ac:dyDescent="0.25">
      <c r="E113" s="5"/>
      <c r="F113" s="5"/>
      <c r="G113" s="7"/>
      <c r="H113" s="7"/>
      <c r="I113" s="5"/>
      <c r="J113" s="10" t="e">
        <f>'PLAN CAP'!#REF!</f>
        <v>#REF!</v>
      </c>
      <c r="K113" s="13">
        <f>IF(G115=" "," ",(_xlfn.DAYS(PlanTrabajo[[#This Row],[FECHA DE FIN]],PlanTrabajo[[#This Row],[FECHA DE INICIO]])))</f>
        <v>0</v>
      </c>
    </row>
    <row r="114" spans="5:11" hidden="1" x14ac:dyDescent="0.25">
      <c r="E114" s="5"/>
      <c r="F114" s="5"/>
      <c r="G114" s="7"/>
      <c r="H114" s="7"/>
      <c r="I114" s="5"/>
      <c r="J114" s="10" t="e">
        <f>'PLAN CAP'!#REF!</f>
        <v>#REF!</v>
      </c>
      <c r="K114" s="13">
        <f>IF(G116=" "," ",(_xlfn.DAYS(PlanTrabajo[[#This Row],[FECHA DE FIN]],PlanTrabajo[[#This Row],[FECHA DE INICIO]])))</f>
        <v>0</v>
      </c>
    </row>
    <row r="115" spans="5:11" hidden="1" x14ac:dyDescent="0.25">
      <c r="E115" s="5"/>
      <c r="F115" s="5"/>
      <c r="G115" s="7"/>
      <c r="H115" s="7"/>
      <c r="I115" s="5"/>
      <c r="J115" s="10" t="e">
        <f>'PLAN CAP'!#REF!</f>
        <v>#REF!</v>
      </c>
      <c r="K115" s="13">
        <f>IF(G117=" "," ",(_xlfn.DAYS(PlanTrabajo[[#This Row],[FECHA DE FIN]],PlanTrabajo[[#This Row],[FECHA DE INICIO]])))</f>
        <v>0</v>
      </c>
    </row>
    <row r="116" spans="5:11" hidden="1" x14ac:dyDescent="0.25">
      <c r="E116" s="5"/>
      <c r="F116" s="5"/>
      <c r="G116" s="7"/>
      <c r="H116" s="7"/>
      <c r="I116" s="5"/>
      <c r="J116" s="10" t="e">
        <f>'PLAN CAP'!#REF!</f>
        <v>#REF!</v>
      </c>
      <c r="K116" s="13">
        <f>IF(G118=" "," ",(_xlfn.DAYS(PlanTrabajo[[#This Row],[FECHA DE FIN]],PlanTrabajo[[#This Row],[FECHA DE INICIO]])))</f>
        <v>0</v>
      </c>
    </row>
    <row r="117" spans="5:11" hidden="1" x14ac:dyDescent="0.25">
      <c r="E117" s="5"/>
      <c r="F117" s="5"/>
      <c r="G117" s="7"/>
      <c r="H117" s="7"/>
      <c r="I117" s="5"/>
      <c r="J117" s="10" t="e">
        <f>'PLAN CAP'!#REF!</f>
        <v>#REF!</v>
      </c>
      <c r="K117" s="13">
        <f>IF(G119=" "," ",(_xlfn.DAYS(PlanTrabajo[[#This Row],[FECHA DE FIN]],PlanTrabajo[[#This Row],[FECHA DE INICIO]])))</f>
        <v>0</v>
      </c>
    </row>
    <row r="118" spans="5:11" hidden="1" x14ac:dyDescent="0.25">
      <c r="E118" s="5"/>
      <c r="F118" s="5"/>
      <c r="G118" s="7"/>
      <c r="H118" s="7"/>
      <c r="I118" s="5"/>
      <c r="J118" s="10" t="e">
        <f>'PLAN CAP'!#REF!</f>
        <v>#REF!</v>
      </c>
      <c r="K118" s="13">
        <f>IF(G120=" "," ",(_xlfn.DAYS(PlanTrabajo[[#This Row],[FECHA DE FIN]],PlanTrabajo[[#This Row],[FECHA DE INICIO]])))</f>
        <v>0</v>
      </c>
    </row>
    <row r="119" spans="5:11" hidden="1" x14ac:dyDescent="0.25">
      <c r="E119" s="5"/>
      <c r="F119" s="5"/>
      <c r="G119" s="7"/>
      <c r="H119" s="7"/>
      <c r="I119" s="5"/>
      <c r="J119" s="10" t="e">
        <f>'PLAN CAP'!#REF!</f>
        <v>#REF!</v>
      </c>
      <c r="K119" s="13">
        <f>IF(G121=" "," ",(_xlfn.DAYS(PlanTrabajo[[#This Row],[FECHA DE FIN]],PlanTrabajo[[#This Row],[FECHA DE INICIO]])))</f>
        <v>0</v>
      </c>
    </row>
    <row r="120" spans="5:11" hidden="1" x14ac:dyDescent="0.25">
      <c r="E120" s="5"/>
      <c r="F120" s="5"/>
      <c r="G120" s="7"/>
      <c r="H120" s="7"/>
      <c r="I120" s="5"/>
      <c r="J120" s="10" t="e">
        <f>'PLAN CAP'!#REF!</f>
        <v>#REF!</v>
      </c>
      <c r="K120" s="13">
        <f>IF(G122=" "," ",(_xlfn.DAYS(PlanTrabajo[[#This Row],[FECHA DE FIN]],PlanTrabajo[[#This Row],[FECHA DE INICIO]])))</f>
        <v>0</v>
      </c>
    </row>
    <row r="121" spans="5:11" hidden="1" x14ac:dyDescent="0.25">
      <c r="E121" s="5"/>
      <c r="F121" s="5"/>
      <c r="G121" s="7"/>
      <c r="H121" s="7"/>
      <c r="I121" s="5"/>
      <c r="J121" s="10" t="e">
        <f>'PLAN CAP'!#REF!</f>
        <v>#REF!</v>
      </c>
      <c r="K121" s="13">
        <f>IF(G123=" "," ",(_xlfn.DAYS(PlanTrabajo[[#This Row],[FECHA DE FIN]],PlanTrabajo[[#This Row],[FECHA DE INICIO]])))</f>
        <v>0</v>
      </c>
    </row>
    <row r="122" spans="5:11" hidden="1" x14ac:dyDescent="0.25">
      <c r="E122" s="5"/>
      <c r="F122" s="5"/>
      <c r="G122" s="7"/>
      <c r="H122" s="7"/>
      <c r="I122" s="5"/>
      <c r="J122" s="10" t="e">
        <f>'PLAN CAP'!#REF!</f>
        <v>#REF!</v>
      </c>
      <c r="K122" s="13">
        <f>IF(G124=" "," ",(_xlfn.DAYS(PlanTrabajo[[#This Row],[FECHA DE FIN]],PlanTrabajo[[#This Row],[FECHA DE INICIO]])))</f>
        <v>0</v>
      </c>
    </row>
    <row r="123" spans="5:11" hidden="1" x14ac:dyDescent="0.25">
      <c r="E123" s="5"/>
      <c r="F123" s="5"/>
      <c r="G123" s="7"/>
      <c r="H123" s="7"/>
      <c r="I123" s="5"/>
      <c r="J123" s="10" t="e">
        <f>'PLAN CAP'!#REF!</f>
        <v>#REF!</v>
      </c>
      <c r="K123" s="13">
        <f>IF(G125=" "," ",(_xlfn.DAYS(PlanTrabajo[[#This Row],[FECHA DE FIN]],PlanTrabajo[[#This Row],[FECHA DE INICIO]])))</f>
        <v>0</v>
      </c>
    </row>
    <row r="124" spans="5:11" hidden="1" x14ac:dyDescent="0.25">
      <c r="E124" s="5"/>
      <c r="F124" s="5"/>
      <c r="G124" s="7"/>
      <c r="H124" s="7"/>
      <c r="I124" s="5"/>
      <c r="J124" s="10" t="e">
        <f>'PLAN CAP'!#REF!</f>
        <v>#REF!</v>
      </c>
      <c r="K124" s="13">
        <f>IF(G126=" "," ",(_xlfn.DAYS(PlanTrabajo[[#This Row],[FECHA DE FIN]],PlanTrabajo[[#This Row],[FECHA DE INICIO]])))</f>
        <v>0</v>
      </c>
    </row>
    <row r="125" spans="5:11" hidden="1" x14ac:dyDescent="0.25">
      <c r="E125" s="5"/>
      <c r="F125" s="5"/>
      <c r="G125" s="7"/>
      <c r="H125" s="7"/>
      <c r="I125" s="5"/>
      <c r="J125" s="10" t="e">
        <f>'PLAN CAP'!#REF!</f>
        <v>#REF!</v>
      </c>
      <c r="K125" s="13">
        <f>IF(G127=" "," ",(_xlfn.DAYS(PlanTrabajo[[#This Row],[FECHA DE FIN]],PlanTrabajo[[#This Row],[FECHA DE INICIO]])))</f>
        <v>0</v>
      </c>
    </row>
    <row r="126" spans="5:11" hidden="1" x14ac:dyDescent="0.25">
      <c r="E126" s="5"/>
      <c r="F126" s="5"/>
      <c r="G126" s="7"/>
      <c r="H126" s="7"/>
      <c r="I126" s="5"/>
      <c r="J126" s="10" t="e">
        <f>'PLAN CAP'!#REF!</f>
        <v>#REF!</v>
      </c>
      <c r="K126" s="13">
        <f>IF(G128=" "," ",(_xlfn.DAYS(PlanTrabajo[[#This Row],[FECHA DE FIN]],PlanTrabajo[[#This Row],[FECHA DE INICIO]])))</f>
        <v>0</v>
      </c>
    </row>
    <row r="127" spans="5:11" hidden="1" x14ac:dyDescent="0.25">
      <c r="E127" s="5"/>
      <c r="F127" s="5"/>
      <c r="G127" s="7"/>
      <c r="H127" s="7"/>
      <c r="I127" s="5"/>
      <c r="J127" s="10" t="e">
        <f>'PLAN CAP'!#REF!</f>
        <v>#REF!</v>
      </c>
      <c r="K127" s="13">
        <f>IF(G129=" "," ",(_xlfn.DAYS(PlanTrabajo[[#This Row],[FECHA DE FIN]],PlanTrabajo[[#This Row],[FECHA DE INICIO]])))</f>
        <v>0</v>
      </c>
    </row>
    <row r="128" spans="5:11" hidden="1" x14ac:dyDescent="0.25">
      <c r="E128" s="5"/>
      <c r="F128" s="5"/>
      <c r="G128" s="7"/>
      <c r="H128" s="7"/>
      <c r="I128" s="5"/>
      <c r="J128" s="10" t="e">
        <f>'PLAN CAP'!#REF!</f>
        <v>#REF!</v>
      </c>
      <c r="K128" s="13">
        <f>IF(G130=" "," ",(_xlfn.DAYS(PlanTrabajo[[#This Row],[FECHA DE FIN]],PlanTrabajo[[#This Row],[FECHA DE INICIO]])))</f>
        <v>0</v>
      </c>
    </row>
    <row r="129" spans="5:11" hidden="1" x14ac:dyDescent="0.25">
      <c r="E129" s="5"/>
      <c r="F129" s="5"/>
      <c r="G129" s="7"/>
      <c r="H129" s="7"/>
      <c r="I129" s="5"/>
      <c r="J129" s="10" t="e">
        <f>'PLAN CAP'!#REF!</f>
        <v>#REF!</v>
      </c>
      <c r="K129" s="13">
        <f>IF(G131=" "," ",(_xlfn.DAYS(PlanTrabajo[[#This Row],[FECHA DE FIN]],PlanTrabajo[[#This Row],[FECHA DE INICIO]])))</f>
        <v>0</v>
      </c>
    </row>
    <row r="130" spans="5:11" hidden="1" x14ac:dyDescent="0.25">
      <c r="E130" s="5"/>
      <c r="F130" s="5"/>
      <c r="G130" s="7"/>
      <c r="H130" s="7"/>
      <c r="I130" s="5"/>
      <c r="J130" s="10" t="e">
        <f>'PLAN CAP'!#REF!</f>
        <v>#REF!</v>
      </c>
      <c r="K130" s="13">
        <f>IF(G132=" "," ",(_xlfn.DAYS(PlanTrabajo[[#This Row],[FECHA DE FIN]],PlanTrabajo[[#This Row],[FECHA DE INICIO]])))</f>
        <v>0</v>
      </c>
    </row>
    <row r="131" spans="5:11" hidden="1" x14ac:dyDescent="0.25">
      <c r="E131" s="5"/>
      <c r="F131" s="5"/>
      <c r="G131" s="7"/>
      <c r="H131" s="7"/>
      <c r="I131" s="5"/>
      <c r="J131" s="10" t="e">
        <f>'PLAN CAP'!#REF!</f>
        <v>#REF!</v>
      </c>
      <c r="K131" s="13">
        <f>IF(G133=" "," ",(_xlfn.DAYS(PlanTrabajo[[#This Row],[FECHA DE FIN]],PlanTrabajo[[#This Row],[FECHA DE INICIO]])))</f>
        <v>0</v>
      </c>
    </row>
    <row r="132" spans="5:11" hidden="1" x14ac:dyDescent="0.25">
      <c r="E132" s="5"/>
      <c r="F132" s="5"/>
      <c r="G132" s="7"/>
      <c r="H132" s="7"/>
      <c r="I132" s="5"/>
      <c r="J132" s="10" t="e">
        <f>'PLAN CAP'!#REF!</f>
        <v>#REF!</v>
      </c>
      <c r="K132" s="13">
        <f>IF(G134=" "," ",(_xlfn.DAYS(PlanTrabajo[[#This Row],[FECHA DE FIN]],PlanTrabajo[[#This Row],[FECHA DE INICIO]])))</f>
        <v>0</v>
      </c>
    </row>
    <row r="133" spans="5:11" hidden="1" x14ac:dyDescent="0.25">
      <c r="E133" s="5"/>
      <c r="F133" s="5"/>
      <c r="G133" s="7"/>
      <c r="H133" s="7"/>
      <c r="I133" s="5"/>
      <c r="J133" s="10" t="e">
        <f>'PLAN CAP'!#REF!</f>
        <v>#REF!</v>
      </c>
      <c r="K133" s="13">
        <f>IF(G135=" "," ",(_xlfn.DAYS(PlanTrabajo[[#This Row],[FECHA DE FIN]],PlanTrabajo[[#This Row],[FECHA DE INICIO]])))</f>
        <v>0</v>
      </c>
    </row>
    <row r="134" spans="5:11" hidden="1" x14ac:dyDescent="0.25">
      <c r="E134" s="5"/>
      <c r="F134" s="5"/>
      <c r="G134" s="7"/>
      <c r="H134" s="7"/>
      <c r="I134" s="5"/>
      <c r="J134" s="10" t="e">
        <f>'PLAN CAP'!#REF!</f>
        <v>#REF!</v>
      </c>
      <c r="K134" s="13">
        <f>IF(G136=" "," ",(_xlfn.DAYS(PlanTrabajo[[#This Row],[FECHA DE FIN]],PlanTrabajo[[#This Row],[FECHA DE INICIO]])))</f>
        <v>0</v>
      </c>
    </row>
    <row r="135" spans="5:11" hidden="1" x14ac:dyDescent="0.25">
      <c r="E135" s="5"/>
      <c r="F135" s="5"/>
      <c r="G135" s="7"/>
      <c r="H135" s="7"/>
      <c r="I135" s="5"/>
      <c r="J135" s="10" t="e">
        <f>'PLAN CAP'!#REF!</f>
        <v>#REF!</v>
      </c>
      <c r="K135" s="13">
        <f>IF(G137=" "," ",(_xlfn.DAYS(PlanTrabajo[[#This Row],[FECHA DE FIN]],PlanTrabajo[[#This Row],[FECHA DE INICIO]])))</f>
        <v>0</v>
      </c>
    </row>
    <row r="136" spans="5:11" hidden="1" x14ac:dyDescent="0.25">
      <c r="E136" s="5"/>
      <c r="F136" s="5"/>
      <c r="G136" s="7"/>
      <c r="H136" s="7"/>
      <c r="I136" s="5"/>
      <c r="J136" s="10" t="e">
        <f>'PLAN CAP'!#REF!</f>
        <v>#REF!</v>
      </c>
      <c r="K136" s="13">
        <f>IF(G138=" "," ",(_xlfn.DAYS(PlanTrabajo[[#This Row],[FECHA DE FIN]],PlanTrabajo[[#This Row],[FECHA DE INICIO]])))</f>
        <v>0</v>
      </c>
    </row>
    <row r="137" spans="5:11" hidden="1" x14ac:dyDescent="0.25">
      <c r="E137" s="5"/>
      <c r="F137" s="5"/>
      <c r="G137" s="7"/>
      <c r="H137" s="7"/>
      <c r="I137" s="5"/>
      <c r="J137" s="10" t="e">
        <f>'PLAN CAP'!#REF!</f>
        <v>#REF!</v>
      </c>
      <c r="K137" s="13">
        <f>IF(G139=" "," ",(_xlfn.DAYS(PlanTrabajo[[#This Row],[FECHA DE FIN]],PlanTrabajo[[#This Row],[FECHA DE INICIO]])))</f>
        <v>0</v>
      </c>
    </row>
    <row r="138" spans="5:11" hidden="1" x14ac:dyDescent="0.25">
      <c r="E138" s="5"/>
      <c r="F138" s="5"/>
      <c r="G138" s="7"/>
      <c r="H138" s="7"/>
      <c r="I138" s="5"/>
      <c r="J138" s="10" t="e">
        <f>'PLAN CAP'!#REF!</f>
        <v>#REF!</v>
      </c>
      <c r="K138" s="13">
        <f>IF(G140=" "," ",(_xlfn.DAYS(PlanTrabajo[[#This Row],[FECHA DE FIN]],PlanTrabajo[[#This Row],[FECHA DE INICIO]])))</f>
        <v>0</v>
      </c>
    </row>
    <row r="139" spans="5:11" hidden="1" x14ac:dyDescent="0.25">
      <c r="E139" s="5"/>
      <c r="F139" s="5"/>
      <c r="G139" s="7"/>
      <c r="H139" s="7"/>
      <c r="I139" s="5"/>
      <c r="J139" s="10" t="e">
        <f>'PLAN CAP'!#REF!</f>
        <v>#REF!</v>
      </c>
      <c r="K139" s="13">
        <f>IF(G141=" "," ",(_xlfn.DAYS(PlanTrabajo[[#This Row],[FECHA DE FIN]],PlanTrabajo[[#This Row],[FECHA DE INICIO]])))</f>
        <v>0</v>
      </c>
    </row>
    <row r="140" spans="5:11" hidden="1" x14ac:dyDescent="0.25">
      <c r="E140" s="5"/>
      <c r="F140" s="5"/>
      <c r="G140" s="7"/>
      <c r="H140" s="7"/>
      <c r="I140" s="5"/>
      <c r="J140" s="10" t="e">
        <f>'PLAN CAP'!#REF!</f>
        <v>#REF!</v>
      </c>
      <c r="K140" s="13">
        <f>IF(G142=" "," ",(_xlfn.DAYS(PlanTrabajo[[#This Row],[FECHA DE FIN]],PlanTrabajo[[#This Row],[FECHA DE INICIO]])))</f>
        <v>0</v>
      </c>
    </row>
    <row r="141" spans="5:11" hidden="1" x14ac:dyDescent="0.25">
      <c r="E141" s="5"/>
      <c r="F141" s="5"/>
      <c r="G141" s="7"/>
      <c r="H141" s="7"/>
      <c r="I141" s="5"/>
      <c r="J141" s="10" t="e">
        <f>'PLAN CAP'!#REF!</f>
        <v>#REF!</v>
      </c>
      <c r="K141" s="13">
        <f>IF(G143=" "," ",(_xlfn.DAYS(PlanTrabajo[[#This Row],[FECHA DE FIN]],PlanTrabajo[[#This Row],[FECHA DE INICIO]])))</f>
        <v>0</v>
      </c>
    </row>
    <row r="142" spans="5:11" hidden="1" x14ac:dyDescent="0.25">
      <c r="E142" s="5"/>
      <c r="F142" s="5"/>
      <c r="G142" s="7"/>
      <c r="H142" s="7"/>
      <c r="I142" s="5"/>
      <c r="J142" s="10" t="e">
        <f>'PLAN CAP'!#REF!</f>
        <v>#REF!</v>
      </c>
      <c r="K142" s="13">
        <f>IF(G144=" "," ",(_xlfn.DAYS(PlanTrabajo[[#This Row],[FECHA DE FIN]],PlanTrabajo[[#This Row],[FECHA DE INICIO]])))</f>
        <v>0</v>
      </c>
    </row>
    <row r="143" spans="5:11" hidden="1" x14ac:dyDescent="0.25">
      <c r="E143" s="5"/>
      <c r="F143" s="5"/>
      <c r="G143" s="7"/>
      <c r="H143" s="7"/>
      <c r="I143" s="5"/>
      <c r="J143" s="10" t="e">
        <f>'PLAN CAP'!#REF!</f>
        <v>#REF!</v>
      </c>
      <c r="K143" s="13">
        <f>IF(G145=" "," ",(_xlfn.DAYS(PlanTrabajo[[#This Row],[FECHA DE FIN]],PlanTrabajo[[#This Row],[FECHA DE INICIO]])))</f>
        <v>0</v>
      </c>
    </row>
    <row r="144" spans="5:11" hidden="1" x14ac:dyDescent="0.25">
      <c r="E144" s="5"/>
      <c r="F144" s="5"/>
      <c r="G144" s="7"/>
      <c r="H144" s="7"/>
      <c r="I144" s="5"/>
      <c r="J144" s="10" t="e">
        <f>'PLAN CAP'!#REF!</f>
        <v>#REF!</v>
      </c>
      <c r="K144" s="13">
        <f>IF(G146=" "," ",(_xlfn.DAYS(PlanTrabajo[[#This Row],[FECHA DE FIN]],PlanTrabajo[[#This Row],[FECHA DE INICIO]])))</f>
        <v>0</v>
      </c>
    </row>
    <row r="145" spans="5:11" hidden="1" x14ac:dyDescent="0.25">
      <c r="E145" s="5"/>
      <c r="F145" s="5"/>
      <c r="G145" s="7"/>
      <c r="H145" s="7"/>
      <c r="I145" s="5"/>
      <c r="J145" s="10" t="e">
        <f>'PLAN CAP'!#REF!</f>
        <v>#REF!</v>
      </c>
      <c r="K145" s="13">
        <f>IF(G147=" "," ",(_xlfn.DAYS(PlanTrabajo[[#This Row],[FECHA DE FIN]],PlanTrabajo[[#This Row],[FECHA DE INICIO]])))</f>
        <v>0</v>
      </c>
    </row>
    <row r="146" spans="5:11" hidden="1" x14ac:dyDescent="0.25">
      <c r="E146" s="5"/>
      <c r="F146" s="5"/>
      <c r="G146" s="7"/>
      <c r="H146" s="7"/>
      <c r="I146" s="5"/>
      <c r="J146" s="10" t="e">
        <f>'PLAN CAP'!#REF!</f>
        <v>#REF!</v>
      </c>
      <c r="K146" s="13">
        <f>IF(G148=" "," ",(_xlfn.DAYS(PlanTrabajo[[#This Row],[FECHA DE FIN]],PlanTrabajo[[#This Row],[FECHA DE INICIO]])))</f>
        <v>0</v>
      </c>
    </row>
    <row r="147" spans="5:11" hidden="1" x14ac:dyDescent="0.25">
      <c r="E147" s="5"/>
      <c r="F147" s="5"/>
      <c r="G147" s="7"/>
      <c r="H147" s="7"/>
      <c r="I147" s="5"/>
      <c r="J147" s="10" t="e">
        <f>'PLAN CAP'!#REF!</f>
        <v>#REF!</v>
      </c>
      <c r="K147" s="13">
        <f>IF(G149=" "," ",(_xlfn.DAYS(PlanTrabajo[[#This Row],[FECHA DE FIN]],PlanTrabajo[[#This Row],[FECHA DE INICIO]])))</f>
        <v>0</v>
      </c>
    </row>
    <row r="148" spans="5:11" hidden="1" x14ac:dyDescent="0.25">
      <c r="E148" s="5"/>
      <c r="F148" s="5"/>
      <c r="G148" s="7"/>
      <c r="H148" s="7"/>
      <c r="I148" s="5"/>
      <c r="J148" s="10" t="e">
        <f>'PLAN CAP'!#REF!</f>
        <v>#REF!</v>
      </c>
      <c r="K148" s="13">
        <f>IF(G150=" "," ",(_xlfn.DAYS(PlanTrabajo[[#This Row],[FECHA DE FIN]],PlanTrabajo[[#This Row],[FECHA DE INICIO]])))</f>
        <v>0</v>
      </c>
    </row>
    <row r="149" spans="5:11" hidden="1" x14ac:dyDescent="0.25">
      <c r="E149" s="5"/>
      <c r="F149" s="5"/>
      <c r="G149" s="7"/>
      <c r="H149" s="7"/>
      <c r="I149" s="5"/>
      <c r="J149" s="10" t="e">
        <f>'PLAN CAP'!#REF!</f>
        <v>#REF!</v>
      </c>
      <c r="K149" s="13">
        <f>IF(G151=" "," ",(_xlfn.DAYS(PlanTrabajo[[#This Row],[FECHA DE FIN]],PlanTrabajo[[#This Row],[FECHA DE INICIO]])))</f>
        <v>0</v>
      </c>
    </row>
    <row r="150" spans="5:11" hidden="1" x14ac:dyDescent="0.25">
      <c r="E150" s="5"/>
      <c r="F150" s="5"/>
      <c r="G150" s="7"/>
      <c r="H150" s="7"/>
      <c r="I150" s="5"/>
      <c r="J150" s="10" t="e">
        <f>'PLAN CAP'!#REF!</f>
        <v>#REF!</v>
      </c>
      <c r="K150" s="13">
        <f>IF(G152=" "," ",(_xlfn.DAYS(PlanTrabajo[[#This Row],[FECHA DE FIN]],PlanTrabajo[[#This Row],[FECHA DE INICIO]])))</f>
        <v>0</v>
      </c>
    </row>
    <row r="151" spans="5:11" hidden="1" x14ac:dyDescent="0.25">
      <c r="E151" s="5"/>
      <c r="F151" s="5"/>
      <c r="G151" s="7"/>
      <c r="H151" s="7"/>
      <c r="I151" s="5"/>
      <c r="J151" s="10" t="e">
        <f>'PLAN CAP'!#REF!</f>
        <v>#REF!</v>
      </c>
      <c r="K151" s="13">
        <f>IF(G153=" "," ",(_xlfn.DAYS(PlanTrabajo[[#This Row],[FECHA DE FIN]],PlanTrabajo[[#This Row],[FECHA DE INICIO]])))</f>
        <v>0</v>
      </c>
    </row>
    <row r="152" spans="5:11" hidden="1" x14ac:dyDescent="0.25">
      <c r="E152" s="5"/>
      <c r="F152" s="5"/>
      <c r="G152" s="7"/>
      <c r="H152" s="7"/>
      <c r="I152" s="5"/>
      <c r="J152" s="10" t="e">
        <f>'PLAN CAP'!#REF!</f>
        <v>#REF!</v>
      </c>
      <c r="K152" s="13">
        <f>IF(G154=" "," ",(_xlfn.DAYS(PlanTrabajo[[#This Row],[FECHA DE FIN]],PlanTrabajo[[#This Row],[FECHA DE INICIO]])))</f>
        <v>0</v>
      </c>
    </row>
    <row r="153" spans="5:11" hidden="1" x14ac:dyDescent="0.25">
      <c r="E153" s="5"/>
      <c r="F153" s="5"/>
      <c r="G153" s="7"/>
      <c r="H153" s="7"/>
      <c r="I153" s="5"/>
      <c r="J153" s="10" t="e">
        <f>'PLAN CAP'!#REF!</f>
        <v>#REF!</v>
      </c>
      <c r="K153" s="13">
        <f>IF(G155=" "," ",(_xlfn.DAYS(PlanTrabajo[[#This Row],[FECHA DE FIN]],PlanTrabajo[[#This Row],[FECHA DE INICIO]])))</f>
        <v>0</v>
      </c>
    </row>
    <row r="154" spans="5:11" hidden="1" x14ac:dyDescent="0.25">
      <c r="E154" s="5"/>
      <c r="F154" s="5"/>
      <c r="G154" s="7"/>
      <c r="H154" s="7"/>
      <c r="I154" s="5"/>
      <c r="J154" s="10" t="e">
        <f>'PLAN CAP'!#REF!</f>
        <v>#REF!</v>
      </c>
      <c r="K154" s="13">
        <f>IF(G156=" "," ",(_xlfn.DAYS(PlanTrabajo[[#This Row],[FECHA DE FIN]],PlanTrabajo[[#This Row],[FECHA DE INICIO]])))</f>
        <v>0</v>
      </c>
    </row>
    <row r="155" spans="5:11" hidden="1" x14ac:dyDescent="0.25">
      <c r="E155" s="5"/>
      <c r="F155" s="5"/>
      <c r="G155" s="7"/>
      <c r="H155" s="7"/>
      <c r="I155" s="5"/>
      <c r="J155" s="10" t="e">
        <f>'PLAN CAP'!#REF!</f>
        <v>#REF!</v>
      </c>
      <c r="K155" s="13">
        <f>IF(G157=" "," ",(_xlfn.DAYS(PlanTrabajo[[#This Row],[FECHA DE FIN]],PlanTrabajo[[#This Row],[FECHA DE INICIO]])))</f>
        <v>0</v>
      </c>
    </row>
    <row r="156" spans="5:11" hidden="1" x14ac:dyDescent="0.25">
      <c r="E156" s="5"/>
      <c r="F156" s="5"/>
      <c r="G156" s="7"/>
      <c r="H156" s="7"/>
      <c r="I156" s="5"/>
      <c r="J156" s="10" t="e">
        <f>'PLAN CAP'!#REF!</f>
        <v>#REF!</v>
      </c>
      <c r="K156" s="13">
        <f>IF(G158=" "," ",(_xlfn.DAYS(PlanTrabajo[[#This Row],[FECHA DE FIN]],PlanTrabajo[[#This Row],[FECHA DE INICIO]])))</f>
        <v>0</v>
      </c>
    </row>
    <row r="157" spans="5:11" hidden="1" x14ac:dyDescent="0.25">
      <c r="E157" s="5"/>
      <c r="F157" s="5"/>
      <c r="G157" s="7"/>
      <c r="H157" s="7"/>
      <c r="I157" s="5"/>
      <c r="J157" s="10" t="e">
        <f>'PLAN CAP'!#REF!</f>
        <v>#REF!</v>
      </c>
      <c r="K157" s="13">
        <f>IF(G159=" "," ",(_xlfn.DAYS(PlanTrabajo[[#This Row],[FECHA DE FIN]],PlanTrabajo[[#This Row],[FECHA DE INICIO]])))</f>
        <v>0</v>
      </c>
    </row>
    <row r="158" spans="5:11" hidden="1" x14ac:dyDescent="0.25">
      <c r="E158" s="5"/>
      <c r="F158" s="5"/>
      <c r="G158" s="7"/>
      <c r="H158" s="7"/>
      <c r="I158" s="5"/>
      <c r="J158" s="10" t="e">
        <f>'PLAN CAP'!#REF!</f>
        <v>#REF!</v>
      </c>
      <c r="K158" s="13">
        <f>IF(G160=" "," ",(_xlfn.DAYS(PlanTrabajo[[#This Row],[FECHA DE FIN]],PlanTrabajo[[#This Row],[FECHA DE INICIO]])))</f>
        <v>0</v>
      </c>
    </row>
    <row r="159" spans="5:11" hidden="1" x14ac:dyDescent="0.25">
      <c r="E159" s="5"/>
      <c r="F159" s="5"/>
      <c r="G159" s="7"/>
      <c r="H159" s="7"/>
      <c r="I159" s="5"/>
      <c r="J159" s="10" t="e">
        <f>'PLAN CAP'!#REF!</f>
        <v>#REF!</v>
      </c>
      <c r="K159" s="13">
        <f>IF(G161=" "," ",(_xlfn.DAYS(PlanTrabajo[[#This Row],[FECHA DE FIN]],PlanTrabajo[[#This Row],[FECHA DE INICIO]])))</f>
        <v>0</v>
      </c>
    </row>
    <row r="160" spans="5:11" hidden="1" x14ac:dyDescent="0.25">
      <c r="E160" s="5"/>
      <c r="F160" s="5"/>
      <c r="G160" s="7"/>
      <c r="H160" s="7"/>
      <c r="I160" s="5"/>
      <c r="J160" s="10" t="e">
        <f>'PLAN CAP'!#REF!</f>
        <v>#REF!</v>
      </c>
      <c r="K160" s="13">
        <f>IF(G162=" "," ",(_xlfn.DAYS(PlanTrabajo[[#This Row],[FECHA DE FIN]],PlanTrabajo[[#This Row],[FECHA DE INICIO]])))</f>
        <v>0</v>
      </c>
    </row>
    <row r="161" spans="5:11" hidden="1" x14ac:dyDescent="0.25">
      <c r="E161" s="5"/>
      <c r="F161" s="5"/>
      <c r="G161" s="7"/>
      <c r="H161" s="7"/>
      <c r="I161" s="5"/>
      <c r="J161" s="10" t="e">
        <f>'PLAN CAP'!#REF!</f>
        <v>#REF!</v>
      </c>
      <c r="K161" s="13">
        <f>IF(G163=" "," ",(_xlfn.DAYS(PlanTrabajo[[#This Row],[FECHA DE FIN]],PlanTrabajo[[#This Row],[FECHA DE INICIO]])))</f>
        <v>0</v>
      </c>
    </row>
    <row r="162" spans="5:11" hidden="1" x14ac:dyDescent="0.25">
      <c r="E162" s="5"/>
      <c r="F162" s="5"/>
      <c r="G162" s="7"/>
      <c r="H162" s="7"/>
      <c r="I162" s="5"/>
      <c r="J162" s="10" t="e">
        <f>'PLAN CAP'!#REF!</f>
        <v>#REF!</v>
      </c>
      <c r="K162" s="13">
        <f>IF(G164=" "," ",(_xlfn.DAYS(PlanTrabajo[[#This Row],[FECHA DE FIN]],PlanTrabajo[[#This Row],[FECHA DE INICIO]])))</f>
        <v>0</v>
      </c>
    </row>
    <row r="163" spans="5:11" hidden="1" x14ac:dyDescent="0.25">
      <c r="E163" s="5"/>
      <c r="F163" s="5"/>
      <c r="G163" s="7"/>
      <c r="H163" s="7"/>
      <c r="I163" s="5"/>
      <c r="J163" s="10" t="e">
        <f>'PLAN CAP'!#REF!</f>
        <v>#REF!</v>
      </c>
      <c r="K163" s="13">
        <f>IF(G165=" "," ",(_xlfn.DAYS(PlanTrabajo[[#This Row],[FECHA DE FIN]],PlanTrabajo[[#This Row],[FECHA DE INICIO]])))</f>
        <v>0</v>
      </c>
    </row>
    <row r="164" spans="5:11" hidden="1" x14ac:dyDescent="0.25">
      <c r="E164" s="5"/>
      <c r="F164" s="5"/>
      <c r="G164" s="7"/>
      <c r="H164" s="7"/>
      <c r="I164" s="5"/>
      <c r="J164" s="10" t="e">
        <f>'PLAN CAP'!#REF!</f>
        <v>#REF!</v>
      </c>
      <c r="K164" s="13">
        <f>IF(G166=" "," ",(_xlfn.DAYS(PlanTrabajo[[#This Row],[FECHA DE FIN]],PlanTrabajo[[#This Row],[FECHA DE INICIO]])))</f>
        <v>0</v>
      </c>
    </row>
    <row r="165" spans="5:11" hidden="1" x14ac:dyDescent="0.25">
      <c r="E165" s="5"/>
      <c r="F165" s="5"/>
      <c r="G165" s="7"/>
      <c r="H165" s="7"/>
      <c r="I165" s="5"/>
      <c r="J165" s="10" t="e">
        <f>'PLAN CAP'!#REF!</f>
        <v>#REF!</v>
      </c>
      <c r="K165" s="13">
        <f>IF(G167=" "," ",(_xlfn.DAYS(PlanTrabajo[[#This Row],[FECHA DE FIN]],PlanTrabajo[[#This Row],[FECHA DE INICIO]])))</f>
        <v>0</v>
      </c>
    </row>
    <row r="166" spans="5:11" hidden="1" x14ac:dyDescent="0.25">
      <c r="E166" s="5"/>
      <c r="F166" s="5"/>
      <c r="G166" s="7"/>
      <c r="H166" s="7"/>
      <c r="I166" s="5"/>
      <c r="J166" s="10" t="e">
        <f>'PLAN CAP'!#REF!</f>
        <v>#REF!</v>
      </c>
      <c r="K166" s="13">
        <f>IF(G168=" "," ",(_xlfn.DAYS(PlanTrabajo[[#This Row],[FECHA DE FIN]],PlanTrabajo[[#This Row],[FECHA DE INICIO]])))</f>
        <v>0</v>
      </c>
    </row>
    <row r="167" spans="5:11" hidden="1" x14ac:dyDescent="0.25">
      <c r="E167" s="5"/>
      <c r="F167" s="5"/>
      <c r="G167" s="7"/>
      <c r="H167" s="7"/>
      <c r="I167" s="5"/>
      <c r="J167" s="10" t="e">
        <f>'PLAN CAP'!#REF!</f>
        <v>#REF!</v>
      </c>
      <c r="K167" s="13">
        <f>IF(G169=" "," ",(_xlfn.DAYS(PlanTrabajo[[#This Row],[FECHA DE FIN]],PlanTrabajo[[#This Row],[FECHA DE INICIO]])))</f>
        <v>0</v>
      </c>
    </row>
    <row r="168" spans="5:11" hidden="1" x14ac:dyDescent="0.25">
      <c r="E168" s="5"/>
      <c r="F168" s="5"/>
      <c r="G168" s="7"/>
      <c r="H168" s="7"/>
      <c r="I168" s="5"/>
      <c r="J168" s="10" t="e">
        <f>'PLAN CAP'!#REF!</f>
        <v>#REF!</v>
      </c>
      <c r="K168" s="13">
        <f>IF(G170=" "," ",(_xlfn.DAYS(PlanTrabajo[[#This Row],[FECHA DE FIN]],PlanTrabajo[[#This Row],[FECHA DE INICIO]])))</f>
        <v>0</v>
      </c>
    </row>
    <row r="169" spans="5:11" hidden="1" x14ac:dyDescent="0.25">
      <c r="E169" s="5"/>
      <c r="F169" s="5"/>
      <c r="G169" s="7"/>
      <c r="H169" s="7"/>
      <c r="I169" s="5"/>
      <c r="J169" s="10" t="e">
        <f>'PLAN CAP'!#REF!</f>
        <v>#REF!</v>
      </c>
      <c r="K169" s="13">
        <f>IF(G171=" "," ",(_xlfn.DAYS(PlanTrabajo[[#This Row],[FECHA DE FIN]],PlanTrabajo[[#This Row],[FECHA DE INICIO]])))</f>
        <v>0</v>
      </c>
    </row>
    <row r="170" spans="5:11" hidden="1" x14ac:dyDescent="0.25">
      <c r="E170" s="5"/>
      <c r="F170" s="5"/>
      <c r="G170" s="7"/>
      <c r="H170" s="7"/>
      <c r="I170" s="5"/>
      <c r="J170" s="10" t="e">
        <f>'PLAN CAP'!#REF!</f>
        <v>#REF!</v>
      </c>
      <c r="K170" s="13">
        <f>IF(G172=" "," ",(_xlfn.DAYS(PlanTrabajo[[#This Row],[FECHA DE FIN]],PlanTrabajo[[#This Row],[FECHA DE INICIO]])))</f>
        <v>0</v>
      </c>
    </row>
    <row r="171" spans="5:11" hidden="1" x14ac:dyDescent="0.25">
      <c r="E171" s="5"/>
      <c r="F171" s="5"/>
      <c r="G171" s="7"/>
      <c r="H171" s="7"/>
      <c r="I171" s="5"/>
      <c r="J171" s="10" t="e">
        <f>'PLAN CAP'!#REF!</f>
        <v>#REF!</v>
      </c>
      <c r="K171" s="13">
        <f>IF(G173=" "," ",(_xlfn.DAYS(PlanTrabajo[[#This Row],[FECHA DE FIN]],PlanTrabajo[[#This Row],[FECHA DE INICIO]])))</f>
        <v>0</v>
      </c>
    </row>
    <row r="172" spans="5:11" hidden="1" x14ac:dyDescent="0.25">
      <c r="E172" s="5"/>
      <c r="F172" s="5"/>
      <c r="G172" s="7"/>
      <c r="H172" s="7"/>
      <c r="I172" s="5"/>
      <c r="J172" s="10" t="e">
        <f>'PLAN CAP'!#REF!</f>
        <v>#REF!</v>
      </c>
      <c r="K172" s="13">
        <f>IF(G174=" "," ",(_xlfn.DAYS(PlanTrabajo[[#This Row],[FECHA DE FIN]],PlanTrabajo[[#This Row],[FECHA DE INICIO]])))</f>
        <v>0</v>
      </c>
    </row>
    <row r="173" spans="5:11" hidden="1" x14ac:dyDescent="0.25">
      <c r="E173" s="5"/>
      <c r="F173" s="5"/>
      <c r="G173" s="7"/>
      <c r="H173" s="7"/>
      <c r="I173" s="5"/>
      <c r="J173" s="10" t="e">
        <f>'PLAN CAP'!#REF!</f>
        <v>#REF!</v>
      </c>
      <c r="K173" s="13">
        <f>IF(G175=" "," ",(_xlfn.DAYS(PlanTrabajo[[#This Row],[FECHA DE FIN]],PlanTrabajo[[#This Row],[FECHA DE INICIO]])))</f>
        <v>0</v>
      </c>
    </row>
    <row r="174" spans="5:11" hidden="1" x14ac:dyDescent="0.25">
      <c r="E174" s="5"/>
      <c r="F174" s="5"/>
      <c r="G174" s="7"/>
      <c r="H174" s="7"/>
      <c r="I174" s="5"/>
      <c r="J174" s="10" t="e">
        <f>'PLAN CAP'!#REF!</f>
        <v>#REF!</v>
      </c>
      <c r="K174" s="13">
        <f>IF(G176=" "," ",(_xlfn.DAYS(PlanTrabajo[[#This Row],[FECHA DE FIN]],PlanTrabajo[[#This Row],[FECHA DE INICIO]])))</f>
        <v>0</v>
      </c>
    </row>
    <row r="175" spans="5:11" hidden="1" x14ac:dyDescent="0.25">
      <c r="E175" s="5"/>
      <c r="F175" s="5"/>
      <c r="G175" s="7"/>
      <c r="H175" s="7"/>
      <c r="I175" s="5"/>
      <c r="J175" s="10" t="e">
        <f>'PLAN CAP'!#REF!</f>
        <v>#REF!</v>
      </c>
      <c r="K175" s="13">
        <f>IF(G177=" "," ",(_xlfn.DAYS(PlanTrabajo[[#This Row],[FECHA DE FIN]],PlanTrabajo[[#This Row],[FECHA DE INICIO]])))</f>
        <v>0</v>
      </c>
    </row>
    <row r="176" spans="5:11" hidden="1" x14ac:dyDescent="0.25">
      <c r="E176" s="5"/>
      <c r="F176" s="5"/>
      <c r="G176" s="7"/>
      <c r="H176" s="7"/>
      <c r="I176" s="5"/>
      <c r="J176" s="10" t="e">
        <f>'PLAN CAP'!#REF!</f>
        <v>#REF!</v>
      </c>
      <c r="K176" s="13">
        <f>IF(G178=" "," ",(_xlfn.DAYS(PlanTrabajo[[#This Row],[FECHA DE FIN]],PlanTrabajo[[#This Row],[FECHA DE INICIO]])))</f>
        <v>0</v>
      </c>
    </row>
    <row r="177" spans="5:11" hidden="1" x14ac:dyDescent="0.25">
      <c r="E177" s="5"/>
      <c r="F177" s="5"/>
      <c r="G177" s="7"/>
      <c r="H177" s="7"/>
      <c r="I177" s="5"/>
      <c r="J177" s="10" t="e">
        <f>'PLAN CAP'!#REF!</f>
        <v>#REF!</v>
      </c>
      <c r="K177" s="13">
        <f>IF(G179=" "," ",(_xlfn.DAYS(PlanTrabajo[[#This Row],[FECHA DE FIN]],PlanTrabajo[[#This Row],[FECHA DE INICIO]])))</f>
        <v>0</v>
      </c>
    </row>
    <row r="178" spans="5:11" hidden="1" x14ac:dyDescent="0.25">
      <c r="E178" s="5"/>
      <c r="F178" s="5"/>
      <c r="G178" s="7"/>
      <c r="H178" s="7"/>
      <c r="I178" s="5"/>
      <c r="J178" s="10" t="e">
        <f>'PLAN CAP'!#REF!</f>
        <v>#REF!</v>
      </c>
      <c r="K178" s="13">
        <f>IF(G180=" "," ",(_xlfn.DAYS(PlanTrabajo[[#This Row],[FECHA DE FIN]],PlanTrabajo[[#This Row],[FECHA DE INICIO]])))</f>
        <v>0</v>
      </c>
    </row>
    <row r="179" spans="5:11" hidden="1" x14ac:dyDescent="0.25">
      <c r="E179" s="5"/>
      <c r="F179" s="5"/>
      <c r="G179" s="7"/>
      <c r="H179" s="7"/>
      <c r="I179" s="5"/>
      <c r="J179" s="10" t="e">
        <f>'PLAN CAP'!#REF!</f>
        <v>#REF!</v>
      </c>
      <c r="K179" s="13">
        <f>IF(G181=" "," ",(_xlfn.DAYS(PlanTrabajo[[#This Row],[FECHA DE FIN]],PlanTrabajo[[#This Row],[FECHA DE INICIO]])))</f>
        <v>0</v>
      </c>
    </row>
    <row r="180" spans="5:11" hidden="1" x14ac:dyDescent="0.25">
      <c r="E180" s="5"/>
      <c r="F180" s="5"/>
      <c r="G180" s="7"/>
      <c r="H180" s="7"/>
      <c r="I180" s="5"/>
      <c r="J180" s="10" t="e">
        <f>'PLAN CAP'!#REF!</f>
        <v>#REF!</v>
      </c>
      <c r="K180" s="13">
        <f>IF(G182=" "," ",(_xlfn.DAYS(PlanTrabajo[[#This Row],[FECHA DE FIN]],PlanTrabajo[[#This Row],[FECHA DE INICIO]])))</f>
        <v>0</v>
      </c>
    </row>
    <row r="181" spans="5:11" hidden="1" x14ac:dyDescent="0.25">
      <c r="E181" s="5"/>
      <c r="F181" s="5"/>
      <c r="G181" s="7"/>
      <c r="H181" s="7"/>
      <c r="I181" s="5"/>
      <c r="J181" s="10" t="e">
        <f>'PLAN CAP'!#REF!</f>
        <v>#REF!</v>
      </c>
      <c r="K181" s="13">
        <f>IF(G183=" "," ",(_xlfn.DAYS(PlanTrabajo[[#This Row],[FECHA DE FIN]],PlanTrabajo[[#This Row],[FECHA DE INICIO]])))</f>
        <v>0</v>
      </c>
    </row>
    <row r="182" spans="5:11" hidden="1" x14ac:dyDescent="0.25">
      <c r="E182" s="5"/>
      <c r="F182" s="5"/>
      <c r="G182" s="7"/>
      <c r="H182" s="7"/>
      <c r="I182" s="5"/>
      <c r="J182" s="10" t="e">
        <f>'PLAN CAP'!#REF!</f>
        <v>#REF!</v>
      </c>
      <c r="K182" s="13">
        <f>IF(G184=" "," ",(_xlfn.DAYS(PlanTrabajo[[#This Row],[FECHA DE FIN]],PlanTrabajo[[#This Row],[FECHA DE INICIO]])))</f>
        <v>0</v>
      </c>
    </row>
    <row r="183" spans="5:11" hidden="1" x14ac:dyDescent="0.25">
      <c r="E183" s="5"/>
      <c r="F183" s="5"/>
      <c r="G183" s="7"/>
      <c r="H183" s="7"/>
      <c r="I183" s="5"/>
      <c r="J183" s="10" t="e">
        <f>'PLAN CAP'!#REF!</f>
        <v>#REF!</v>
      </c>
      <c r="K183" s="13">
        <f>IF(G185=" "," ",(_xlfn.DAYS(PlanTrabajo[[#This Row],[FECHA DE FIN]],PlanTrabajo[[#This Row],[FECHA DE INICIO]])))</f>
        <v>0</v>
      </c>
    </row>
    <row r="184" spans="5:11" hidden="1" x14ac:dyDescent="0.25">
      <c r="E184" s="5"/>
      <c r="F184" s="5"/>
      <c r="G184" s="7"/>
      <c r="H184" s="7"/>
      <c r="I184" s="5"/>
      <c r="J184" s="10" t="e">
        <f>'PLAN CAP'!#REF!</f>
        <v>#REF!</v>
      </c>
      <c r="K184" s="13">
        <f>IF(G186=" "," ",(_xlfn.DAYS(PlanTrabajo[[#This Row],[FECHA DE FIN]],PlanTrabajo[[#This Row],[FECHA DE INICIO]])))</f>
        <v>0</v>
      </c>
    </row>
    <row r="185" spans="5:11" hidden="1" x14ac:dyDescent="0.25">
      <c r="E185" s="5"/>
      <c r="F185" s="5"/>
      <c r="G185" s="7"/>
      <c r="H185" s="7"/>
      <c r="I185" s="5"/>
      <c r="J185" s="10" t="e">
        <f>'PLAN CAP'!#REF!</f>
        <v>#REF!</v>
      </c>
      <c r="K185" s="13">
        <f>IF(G187=" "," ",(_xlfn.DAYS(PlanTrabajo[[#This Row],[FECHA DE FIN]],PlanTrabajo[[#This Row],[FECHA DE INICIO]])))</f>
        <v>0</v>
      </c>
    </row>
    <row r="186" spans="5:11" hidden="1" x14ac:dyDescent="0.25">
      <c r="E186" s="5"/>
      <c r="F186" s="5"/>
      <c r="G186" s="7"/>
      <c r="H186" s="7"/>
      <c r="I186" s="5"/>
      <c r="J186" s="10" t="e">
        <f>'PLAN CAP'!#REF!</f>
        <v>#REF!</v>
      </c>
      <c r="K186" s="13">
        <f>IF(G188=" "," ",(_xlfn.DAYS(PlanTrabajo[[#This Row],[FECHA DE FIN]],PlanTrabajo[[#This Row],[FECHA DE INICIO]])))</f>
        <v>0</v>
      </c>
    </row>
    <row r="187" spans="5:11" hidden="1" x14ac:dyDescent="0.25">
      <c r="E187" s="5"/>
      <c r="F187" s="5"/>
      <c r="G187" s="7"/>
      <c r="H187" s="7"/>
      <c r="I187" s="5"/>
      <c r="J187" s="10" t="e">
        <f>'PLAN CAP'!#REF!</f>
        <v>#REF!</v>
      </c>
      <c r="K187" s="13">
        <f>IF(G189=" "," ",(_xlfn.DAYS(PlanTrabajo[[#This Row],[FECHA DE FIN]],PlanTrabajo[[#This Row],[FECHA DE INICIO]])))</f>
        <v>0</v>
      </c>
    </row>
    <row r="188" spans="5:11" hidden="1" x14ac:dyDescent="0.25">
      <c r="E188" s="5"/>
      <c r="F188" s="5"/>
      <c r="G188" s="7"/>
      <c r="H188" s="7"/>
      <c r="I188" s="5"/>
      <c r="J188" s="10" t="e">
        <f>'PLAN CAP'!#REF!</f>
        <v>#REF!</v>
      </c>
      <c r="K188" s="13">
        <f>IF(G190=" "," ",(_xlfn.DAYS(PlanTrabajo[[#This Row],[FECHA DE FIN]],PlanTrabajo[[#This Row],[FECHA DE INICIO]])))</f>
        <v>0</v>
      </c>
    </row>
    <row r="189" spans="5:11" hidden="1" x14ac:dyDescent="0.25">
      <c r="E189" s="5"/>
      <c r="F189" s="5"/>
      <c r="G189" s="7"/>
      <c r="H189" s="7"/>
      <c r="I189" s="5"/>
      <c r="J189" s="10" t="e">
        <f>'PLAN CAP'!#REF!</f>
        <v>#REF!</v>
      </c>
      <c r="K189" s="13">
        <f>IF(G191=" "," ",(_xlfn.DAYS(PlanTrabajo[[#This Row],[FECHA DE FIN]],PlanTrabajo[[#This Row],[FECHA DE INICIO]])))</f>
        <v>0</v>
      </c>
    </row>
    <row r="190" spans="5:11" hidden="1" x14ac:dyDescent="0.25">
      <c r="E190" s="5"/>
      <c r="F190" s="5"/>
      <c r="G190" s="7"/>
      <c r="H190" s="7"/>
      <c r="I190" s="5"/>
      <c r="J190" s="10" t="e">
        <f>'PLAN CAP'!#REF!</f>
        <v>#REF!</v>
      </c>
      <c r="K190" s="13">
        <f>IF(G192=" "," ",(_xlfn.DAYS(PlanTrabajo[[#This Row],[FECHA DE FIN]],PlanTrabajo[[#This Row],[FECHA DE INICIO]])))</f>
        <v>0</v>
      </c>
    </row>
    <row r="191" spans="5:11" hidden="1" x14ac:dyDescent="0.25">
      <c r="E191" s="5"/>
      <c r="F191" s="5"/>
      <c r="G191" s="7"/>
      <c r="H191" s="7"/>
      <c r="I191" s="5"/>
      <c r="J191" s="10" t="e">
        <f>'PLAN CAP'!#REF!</f>
        <v>#REF!</v>
      </c>
      <c r="K191" s="13">
        <f>IF(G193=" "," ",(_xlfn.DAYS(PlanTrabajo[[#This Row],[FECHA DE FIN]],PlanTrabajo[[#This Row],[FECHA DE INICIO]])))</f>
        <v>0</v>
      </c>
    </row>
    <row r="192" spans="5:11" hidden="1" x14ac:dyDescent="0.25">
      <c r="E192" s="5"/>
      <c r="F192" s="5"/>
      <c r="G192" s="7"/>
      <c r="H192" s="7"/>
      <c r="I192" s="5"/>
      <c r="J192" s="10" t="e">
        <f>'PLAN CAP'!#REF!</f>
        <v>#REF!</v>
      </c>
      <c r="K192" s="13">
        <f>IF(G194=" "," ",(_xlfn.DAYS(PlanTrabajo[[#This Row],[FECHA DE FIN]],PlanTrabajo[[#This Row],[FECHA DE INICIO]])))</f>
        <v>0</v>
      </c>
    </row>
    <row r="193" spans="5:11" hidden="1" x14ac:dyDescent="0.25">
      <c r="E193" s="5"/>
      <c r="F193" s="5"/>
      <c r="G193" s="7"/>
      <c r="H193" s="7"/>
      <c r="I193" s="5"/>
      <c r="J193" s="10" t="e">
        <f>'PLAN CAP'!#REF!</f>
        <v>#REF!</v>
      </c>
      <c r="K193" s="13">
        <f>IF(G195=" "," ",(_xlfn.DAYS(PlanTrabajo[[#This Row],[FECHA DE FIN]],PlanTrabajo[[#This Row],[FECHA DE INICIO]])))</f>
        <v>0</v>
      </c>
    </row>
    <row r="194" spans="5:11" hidden="1" x14ac:dyDescent="0.25">
      <c r="E194" s="5"/>
      <c r="F194" s="5"/>
      <c r="G194" s="7"/>
      <c r="H194" s="7"/>
      <c r="I194" s="5"/>
      <c r="J194" s="10" t="e">
        <f>'PLAN CAP'!#REF!</f>
        <v>#REF!</v>
      </c>
      <c r="K194" s="13">
        <f>IF(G196=" "," ",(_xlfn.DAYS(PlanTrabajo[[#This Row],[FECHA DE FIN]],PlanTrabajo[[#This Row],[FECHA DE INICIO]])))</f>
        <v>0</v>
      </c>
    </row>
    <row r="195" spans="5:11" hidden="1" x14ac:dyDescent="0.25">
      <c r="E195" s="5"/>
      <c r="F195" s="5"/>
      <c r="G195" s="7"/>
      <c r="H195" s="7"/>
      <c r="I195" s="5"/>
      <c r="J195" s="10" t="e">
        <f>'PLAN CAP'!#REF!</f>
        <v>#REF!</v>
      </c>
      <c r="K195" s="13">
        <f>IF(G197=" "," ",(_xlfn.DAYS(PlanTrabajo[[#This Row],[FECHA DE FIN]],PlanTrabajo[[#This Row],[FECHA DE INICIO]])))</f>
        <v>0</v>
      </c>
    </row>
    <row r="196" spans="5:11" hidden="1" x14ac:dyDescent="0.25">
      <c r="E196" s="5"/>
      <c r="F196" s="5"/>
      <c r="G196" s="7"/>
      <c r="H196" s="7"/>
      <c r="I196" s="5"/>
      <c r="J196" s="10" t="e">
        <f>'PLAN CAP'!#REF!</f>
        <v>#REF!</v>
      </c>
      <c r="K196" s="13">
        <f>IF(G198=" "," ",(_xlfn.DAYS(PlanTrabajo[[#This Row],[FECHA DE FIN]],PlanTrabajo[[#This Row],[FECHA DE INICIO]])))</f>
        <v>0</v>
      </c>
    </row>
    <row r="197" spans="5:11" hidden="1" x14ac:dyDescent="0.25">
      <c r="E197" s="5"/>
      <c r="F197" s="5"/>
      <c r="G197" s="7"/>
      <c r="H197" s="7"/>
      <c r="I197" s="5"/>
      <c r="J197" s="10" t="e">
        <f>'PLAN CAP'!#REF!</f>
        <v>#REF!</v>
      </c>
      <c r="K197" s="13">
        <f>IF(G199=" "," ",(_xlfn.DAYS(PlanTrabajo[[#This Row],[FECHA DE FIN]],PlanTrabajo[[#This Row],[FECHA DE INICIO]])))</f>
        <v>0</v>
      </c>
    </row>
    <row r="198" spans="5:11" hidden="1" x14ac:dyDescent="0.25">
      <c r="E198" s="5"/>
      <c r="F198" s="5"/>
      <c r="G198" s="7"/>
      <c r="H198" s="7"/>
      <c r="I198" s="5"/>
      <c r="J198" s="10" t="e">
        <f>'PLAN CAP'!#REF!</f>
        <v>#REF!</v>
      </c>
      <c r="K198" s="13">
        <f>IF(G200=" "," ",(_xlfn.DAYS(PlanTrabajo[[#This Row],[FECHA DE FIN]],PlanTrabajo[[#This Row],[FECHA DE INICIO]])))</f>
        <v>0</v>
      </c>
    </row>
    <row r="199" spans="5:11" hidden="1" x14ac:dyDescent="0.25">
      <c r="E199" s="5"/>
      <c r="F199" s="5"/>
      <c r="G199" s="7"/>
      <c r="H199" s="7"/>
      <c r="I199" s="5"/>
      <c r="J199" s="10" t="e">
        <f>'PLAN CAP'!#REF!</f>
        <v>#REF!</v>
      </c>
      <c r="K199" s="13">
        <f>IF(G201=" "," ",(_xlfn.DAYS(PlanTrabajo[[#This Row],[FECHA DE FIN]],PlanTrabajo[[#This Row],[FECHA DE INICIO]])))</f>
        <v>0</v>
      </c>
    </row>
    <row r="200" spans="5:11" hidden="1" x14ac:dyDescent="0.25">
      <c r="E200" s="5"/>
      <c r="F200" s="5"/>
      <c r="G200" s="7"/>
      <c r="H200" s="7"/>
      <c r="I200" s="5"/>
      <c r="J200" s="10" t="e">
        <f>'PLAN CAP'!#REF!</f>
        <v>#REF!</v>
      </c>
      <c r="K200" s="13">
        <f>IF(G202=" "," ",(_xlfn.DAYS(PlanTrabajo[[#This Row],[FECHA DE FIN]],PlanTrabajo[[#This Row],[FECHA DE INICIO]])))</f>
        <v>0</v>
      </c>
    </row>
    <row r="201" spans="5:11" hidden="1" x14ac:dyDescent="0.25">
      <c r="E201" s="5"/>
      <c r="F201" s="5"/>
      <c r="G201" s="7"/>
      <c r="H201" s="7"/>
      <c r="I201" s="5"/>
      <c r="J201" s="10" t="e">
        <f>'PLAN CAP'!#REF!</f>
        <v>#REF!</v>
      </c>
      <c r="K201" s="13">
        <f>IF(G203=" "," ",(_xlfn.DAYS(PlanTrabajo[[#This Row],[FECHA DE FIN]],PlanTrabajo[[#This Row],[FECHA DE INICIO]])))</f>
        <v>0</v>
      </c>
    </row>
    <row r="202" spans="5:11" hidden="1" x14ac:dyDescent="0.25">
      <c r="E202" s="5"/>
      <c r="F202" s="5"/>
      <c r="G202" s="7"/>
      <c r="H202" s="7"/>
      <c r="I202" s="5"/>
      <c r="J202" s="10" t="e">
        <f>'PLAN CAP'!#REF!</f>
        <v>#REF!</v>
      </c>
      <c r="K202" s="13">
        <f>IF(G204=" "," ",(_xlfn.DAYS(PlanTrabajo[[#This Row],[FECHA DE FIN]],PlanTrabajo[[#This Row],[FECHA DE INICIO]])))</f>
        <v>0</v>
      </c>
    </row>
    <row r="203" spans="5:11" hidden="1" x14ac:dyDescent="0.25">
      <c r="E203" s="5"/>
      <c r="F203" s="5"/>
      <c r="G203" s="7"/>
      <c r="H203" s="7"/>
      <c r="I203" s="5"/>
      <c r="J203" s="10" t="e">
        <f>'PLAN CAP'!#REF!</f>
        <v>#REF!</v>
      </c>
      <c r="K203" s="13">
        <f>IF(G205=" "," ",(_xlfn.DAYS(PlanTrabajo[[#This Row],[FECHA DE FIN]],PlanTrabajo[[#This Row],[FECHA DE INICIO]])))</f>
        <v>0</v>
      </c>
    </row>
    <row r="204" spans="5:11" hidden="1" x14ac:dyDescent="0.25">
      <c r="E204" s="5"/>
      <c r="F204" s="5"/>
      <c r="G204" s="7"/>
      <c r="H204" s="7"/>
      <c r="I204" s="5"/>
      <c r="J204" s="10" t="e">
        <f>'PLAN CAP'!#REF!</f>
        <v>#REF!</v>
      </c>
      <c r="K204" s="13">
        <f>IF(G206=" "," ",(_xlfn.DAYS(PlanTrabajo[[#This Row],[FECHA DE FIN]],PlanTrabajo[[#This Row],[FECHA DE INICIO]])))</f>
        <v>0</v>
      </c>
    </row>
    <row r="205" spans="5:11" hidden="1" x14ac:dyDescent="0.25">
      <c r="E205" s="5"/>
      <c r="F205" s="5"/>
      <c r="G205" s="7"/>
      <c r="H205" s="7"/>
      <c r="I205" s="5"/>
      <c r="J205" s="10" t="e">
        <f>'PLAN CAP'!#REF!</f>
        <v>#REF!</v>
      </c>
      <c r="K205" s="13">
        <f>IF(G207=" "," ",(_xlfn.DAYS(PlanTrabajo[[#This Row],[FECHA DE FIN]],PlanTrabajo[[#This Row],[FECHA DE INICIO]])))</f>
        <v>0</v>
      </c>
    </row>
    <row r="206" spans="5:11" hidden="1" x14ac:dyDescent="0.25">
      <c r="E206" s="5"/>
      <c r="F206" s="5"/>
      <c r="G206" s="7"/>
      <c r="H206" s="7"/>
      <c r="I206" s="5"/>
      <c r="J206" s="10" t="e">
        <f>'PLAN CAP'!#REF!</f>
        <v>#REF!</v>
      </c>
      <c r="K206" s="13">
        <f>IF(G208=" "," ",(_xlfn.DAYS(PlanTrabajo[[#This Row],[FECHA DE FIN]],PlanTrabajo[[#This Row],[FECHA DE INICIO]])))</f>
        <v>0</v>
      </c>
    </row>
    <row r="207" spans="5:11" hidden="1" x14ac:dyDescent="0.25">
      <c r="E207" s="5"/>
      <c r="F207" s="5"/>
      <c r="G207" s="7"/>
      <c r="H207" s="7"/>
      <c r="I207" s="5"/>
      <c r="J207" s="10" t="e">
        <f>'PLAN CAP'!#REF!</f>
        <v>#REF!</v>
      </c>
      <c r="K207" s="13">
        <f>IF(G209=" "," ",(_xlfn.DAYS(PlanTrabajo[[#This Row],[FECHA DE FIN]],PlanTrabajo[[#This Row],[FECHA DE INICIO]])))</f>
        <v>0</v>
      </c>
    </row>
    <row r="208" spans="5:11" hidden="1" x14ac:dyDescent="0.25">
      <c r="E208" s="5"/>
      <c r="F208" s="5"/>
      <c r="G208" s="7"/>
      <c r="H208" s="7"/>
      <c r="I208" s="5"/>
      <c r="J208" s="10" t="e">
        <f>'PLAN CAP'!#REF!</f>
        <v>#REF!</v>
      </c>
      <c r="K208" s="13">
        <f>IF(G210=" "," ",(_xlfn.DAYS(PlanTrabajo[[#This Row],[FECHA DE FIN]],PlanTrabajo[[#This Row],[FECHA DE INICIO]])))</f>
        <v>0</v>
      </c>
    </row>
    <row r="209" spans="5:11" hidden="1" x14ac:dyDescent="0.25">
      <c r="E209" s="5"/>
      <c r="F209" s="5"/>
      <c r="G209" s="7"/>
      <c r="H209" s="7"/>
      <c r="I209" s="5"/>
      <c r="J209" s="10" t="e">
        <f>'PLAN CAP'!#REF!</f>
        <v>#REF!</v>
      </c>
      <c r="K209" s="13">
        <f>IF(G211=" "," ",(_xlfn.DAYS(PlanTrabajo[[#This Row],[FECHA DE FIN]],PlanTrabajo[[#This Row],[FECHA DE INICIO]])))</f>
        <v>0</v>
      </c>
    </row>
    <row r="210" spans="5:11" hidden="1" x14ac:dyDescent="0.25">
      <c r="E210" s="5"/>
      <c r="F210" s="5"/>
      <c r="G210" s="7"/>
      <c r="H210" s="7"/>
      <c r="I210" s="5"/>
      <c r="J210" s="10" t="e">
        <f>'PLAN CAP'!#REF!</f>
        <v>#REF!</v>
      </c>
      <c r="K210" s="13">
        <f>IF(G212=" "," ",(_xlfn.DAYS(PlanTrabajo[[#This Row],[FECHA DE FIN]],PlanTrabajo[[#This Row],[FECHA DE INICIO]])))</f>
        <v>0</v>
      </c>
    </row>
    <row r="211" spans="5:11" hidden="1" x14ac:dyDescent="0.25">
      <c r="E211" s="5"/>
      <c r="F211" s="5"/>
      <c r="G211" s="7"/>
      <c r="H211" s="7"/>
      <c r="I211" s="5"/>
      <c r="J211" s="10" t="e">
        <f>'PLAN CAP'!#REF!</f>
        <v>#REF!</v>
      </c>
      <c r="K211" s="13">
        <f>IF(G213=" "," ",(_xlfn.DAYS(PlanTrabajo[[#This Row],[FECHA DE FIN]],PlanTrabajo[[#This Row],[FECHA DE INICIO]])))</f>
        <v>0</v>
      </c>
    </row>
    <row r="212" spans="5:11" hidden="1" x14ac:dyDescent="0.25">
      <c r="E212" s="5"/>
      <c r="F212" s="5"/>
      <c r="G212" s="7"/>
      <c r="H212" s="7"/>
      <c r="I212" s="5"/>
      <c r="J212" s="10" t="e">
        <f>'PLAN CAP'!#REF!</f>
        <v>#REF!</v>
      </c>
      <c r="K212" s="13">
        <f>IF(G214=" "," ",(_xlfn.DAYS(PlanTrabajo[[#This Row],[FECHA DE FIN]],PlanTrabajo[[#This Row],[FECHA DE INICIO]])))</f>
        <v>0</v>
      </c>
    </row>
    <row r="213" spans="5:11" hidden="1" x14ac:dyDescent="0.25">
      <c r="E213" s="5"/>
      <c r="F213" s="5"/>
      <c r="G213" s="7"/>
      <c r="H213" s="7"/>
      <c r="I213" s="5"/>
      <c r="J213" s="10" t="e">
        <f>'PLAN CAP'!#REF!</f>
        <v>#REF!</v>
      </c>
      <c r="K213" s="13">
        <f>IF(G215=" "," ",(_xlfn.DAYS(PlanTrabajo[[#This Row],[FECHA DE FIN]],PlanTrabajo[[#This Row],[FECHA DE INICIO]])))</f>
        <v>0</v>
      </c>
    </row>
    <row r="214" spans="5:11" hidden="1" x14ac:dyDescent="0.25">
      <c r="E214" s="5"/>
      <c r="F214" s="5"/>
      <c r="G214" s="7"/>
      <c r="H214" s="7"/>
      <c r="I214" s="5"/>
      <c r="J214" s="10" t="e">
        <f>'PLAN CAP'!#REF!</f>
        <v>#REF!</v>
      </c>
      <c r="K214" s="13">
        <f>IF(G216=" "," ",(_xlfn.DAYS(PlanTrabajo[[#This Row],[FECHA DE FIN]],PlanTrabajo[[#This Row],[FECHA DE INICIO]])))</f>
        <v>0</v>
      </c>
    </row>
    <row r="215" spans="5:11" hidden="1" x14ac:dyDescent="0.25">
      <c r="E215" s="5"/>
      <c r="F215" s="5"/>
      <c r="G215" s="7"/>
      <c r="H215" s="7"/>
      <c r="I215" s="5"/>
      <c r="J215" s="10" t="e">
        <f>'PLAN CAP'!#REF!</f>
        <v>#REF!</v>
      </c>
      <c r="K215" s="13">
        <f>IF(G217=" "," ",(_xlfn.DAYS(PlanTrabajo[[#This Row],[FECHA DE FIN]],PlanTrabajo[[#This Row],[FECHA DE INICIO]])))</f>
        <v>0</v>
      </c>
    </row>
    <row r="216" spans="5:11" hidden="1" x14ac:dyDescent="0.25">
      <c r="E216" s="5"/>
      <c r="F216" s="5"/>
      <c r="G216" s="7"/>
      <c r="H216" s="7"/>
      <c r="I216" s="5"/>
      <c r="J216" s="10" t="e">
        <f>'PLAN CAP'!#REF!</f>
        <v>#REF!</v>
      </c>
      <c r="K216" s="13">
        <f>IF(G218=" "," ",(_xlfn.DAYS(PlanTrabajo[[#This Row],[FECHA DE FIN]],PlanTrabajo[[#This Row],[FECHA DE INICIO]])))</f>
        <v>0</v>
      </c>
    </row>
    <row r="217" spans="5:11" hidden="1" x14ac:dyDescent="0.25">
      <c r="E217" s="5"/>
      <c r="F217" s="5"/>
      <c r="G217" s="7"/>
      <c r="H217" s="7"/>
      <c r="I217" s="5"/>
      <c r="J217" s="10" t="e">
        <f>'PLAN CAP'!#REF!</f>
        <v>#REF!</v>
      </c>
      <c r="K217" s="13">
        <f>IF(G219=" "," ",(_xlfn.DAYS(PlanTrabajo[[#This Row],[FECHA DE FIN]],PlanTrabajo[[#This Row],[FECHA DE INICIO]])))</f>
        <v>0</v>
      </c>
    </row>
    <row r="218" spans="5:11" hidden="1" x14ac:dyDescent="0.25">
      <c r="E218" s="5"/>
      <c r="F218" s="5"/>
      <c r="G218" s="7"/>
      <c r="H218" s="7"/>
      <c r="I218" s="5"/>
      <c r="J218" s="10" t="e">
        <f>'PLAN CAP'!#REF!</f>
        <v>#REF!</v>
      </c>
      <c r="K218" s="13">
        <f>IF(G220=" "," ",(_xlfn.DAYS(PlanTrabajo[[#This Row],[FECHA DE FIN]],PlanTrabajo[[#This Row],[FECHA DE INICIO]])))</f>
        <v>0</v>
      </c>
    </row>
    <row r="219" spans="5:11" hidden="1" x14ac:dyDescent="0.25">
      <c r="E219" s="5"/>
      <c r="F219" s="5"/>
      <c r="G219" s="7"/>
      <c r="H219" s="7"/>
      <c r="I219" s="5"/>
      <c r="J219" s="10" t="e">
        <f>'PLAN CAP'!#REF!</f>
        <v>#REF!</v>
      </c>
      <c r="K219" s="13">
        <f>IF(G221=" "," ",(_xlfn.DAYS(PlanTrabajo[[#This Row],[FECHA DE FIN]],PlanTrabajo[[#This Row],[FECHA DE INICIO]])))</f>
        <v>0</v>
      </c>
    </row>
    <row r="220" spans="5:11" hidden="1" x14ac:dyDescent="0.25">
      <c r="E220" s="5"/>
      <c r="F220" s="5"/>
      <c r="G220" s="7"/>
      <c r="H220" s="7"/>
      <c r="I220" s="5"/>
      <c r="J220" s="10" t="e">
        <f>'PLAN CAP'!#REF!</f>
        <v>#REF!</v>
      </c>
      <c r="K220" s="13">
        <f>IF(G222=" "," ",(_xlfn.DAYS(PlanTrabajo[[#This Row],[FECHA DE FIN]],PlanTrabajo[[#This Row],[FECHA DE INICIO]])))</f>
        <v>0</v>
      </c>
    </row>
    <row r="221" spans="5:11" hidden="1" x14ac:dyDescent="0.25">
      <c r="E221" s="5"/>
      <c r="F221" s="5"/>
      <c r="G221" s="7"/>
      <c r="H221" s="7"/>
      <c r="I221" s="5"/>
      <c r="J221" s="10" t="e">
        <f>'PLAN CAP'!#REF!</f>
        <v>#REF!</v>
      </c>
      <c r="K221" s="13">
        <f>IF(G223=" "," ",(_xlfn.DAYS(PlanTrabajo[[#This Row],[FECHA DE FIN]],PlanTrabajo[[#This Row],[FECHA DE INICIO]])))</f>
        <v>0</v>
      </c>
    </row>
    <row r="222" spans="5:11" hidden="1" x14ac:dyDescent="0.25">
      <c r="E222" s="5"/>
      <c r="F222" s="5"/>
      <c r="G222" s="7"/>
      <c r="H222" s="7"/>
      <c r="I222" s="5"/>
      <c r="J222" s="10" t="e">
        <f>'PLAN CAP'!#REF!</f>
        <v>#REF!</v>
      </c>
      <c r="K222" s="13">
        <f>IF(G224=" "," ",(_xlfn.DAYS(PlanTrabajo[[#This Row],[FECHA DE FIN]],PlanTrabajo[[#This Row],[FECHA DE INICIO]])))</f>
        <v>0</v>
      </c>
    </row>
    <row r="223" spans="5:11" hidden="1" x14ac:dyDescent="0.25">
      <c r="E223" s="5"/>
      <c r="F223" s="5"/>
      <c r="G223" s="7"/>
      <c r="H223" s="7"/>
      <c r="I223" s="5"/>
      <c r="J223" s="10" t="e">
        <f>'PLAN CAP'!#REF!</f>
        <v>#REF!</v>
      </c>
      <c r="K223" s="13">
        <f>IF(G225=" "," ",(_xlfn.DAYS(PlanTrabajo[[#This Row],[FECHA DE FIN]],PlanTrabajo[[#This Row],[FECHA DE INICIO]])))</f>
        <v>0</v>
      </c>
    </row>
    <row r="224" spans="5:11" hidden="1" x14ac:dyDescent="0.25">
      <c r="E224" s="5"/>
      <c r="F224" s="5"/>
      <c r="G224" s="7"/>
      <c r="H224" s="7"/>
      <c r="I224" s="5"/>
      <c r="J224" s="10" t="e">
        <f>'PLAN CAP'!#REF!</f>
        <v>#REF!</v>
      </c>
      <c r="K224" s="13">
        <f>IF(G226=" "," ",(_xlfn.DAYS(PlanTrabajo[[#This Row],[FECHA DE FIN]],PlanTrabajo[[#This Row],[FECHA DE INICIO]])))</f>
        <v>0</v>
      </c>
    </row>
    <row r="225" spans="5:11" hidden="1" x14ac:dyDescent="0.25">
      <c r="E225" s="5"/>
      <c r="F225" s="5"/>
      <c r="G225" s="7"/>
      <c r="H225" s="7"/>
      <c r="I225" s="5"/>
      <c r="J225" s="10" t="e">
        <f>'PLAN CAP'!#REF!</f>
        <v>#REF!</v>
      </c>
      <c r="K225" s="13">
        <f>IF(G227=" "," ",(_xlfn.DAYS(PlanTrabajo[[#This Row],[FECHA DE FIN]],PlanTrabajo[[#This Row],[FECHA DE INICIO]])))</f>
        <v>0</v>
      </c>
    </row>
    <row r="226" spans="5:11" hidden="1" x14ac:dyDescent="0.25">
      <c r="E226" s="5"/>
      <c r="F226" s="5"/>
      <c r="G226" s="7"/>
      <c r="H226" s="7"/>
      <c r="I226" s="5"/>
      <c r="J226" s="10" t="e">
        <f>'PLAN CAP'!#REF!</f>
        <v>#REF!</v>
      </c>
      <c r="K226" s="13">
        <f>IF(G228=" "," ",(_xlfn.DAYS(PlanTrabajo[[#This Row],[FECHA DE FIN]],PlanTrabajo[[#This Row],[FECHA DE INICIO]])))</f>
        <v>0</v>
      </c>
    </row>
    <row r="227" spans="5:11" hidden="1" x14ac:dyDescent="0.25">
      <c r="E227" s="5"/>
      <c r="F227" s="5"/>
      <c r="G227" s="7"/>
      <c r="H227" s="7"/>
      <c r="I227" s="5"/>
      <c r="J227" s="10" t="e">
        <f>'PLAN CAP'!#REF!</f>
        <v>#REF!</v>
      </c>
      <c r="K227" s="13">
        <f>IF(G229=" "," ",(_xlfn.DAYS(PlanTrabajo[[#This Row],[FECHA DE FIN]],PlanTrabajo[[#This Row],[FECHA DE INICIO]])))</f>
        <v>0</v>
      </c>
    </row>
    <row r="228" spans="5:11" hidden="1" x14ac:dyDescent="0.25">
      <c r="E228" s="5"/>
      <c r="F228" s="5"/>
      <c r="G228" s="7"/>
      <c r="H228" s="7"/>
      <c r="I228" s="5"/>
      <c r="J228" s="10" t="e">
        <f>'PLAN CAP'!#REF!</f>
        <v>#REF!</v>
      </c>
      <c r="K228" s="13">
        <f>IF(G230=" "," ",(_xlfn.DAYS(PlanTrabajo[[#This Row],[FECHA DE FIN]],PlanTrabajo[[#This Row],[FECHA DE INICIO]])))</f>
        <v>0</v>
      </c>
    </row>
    <row r="229" spans="5:11" hidden="1" x14ac:dyDescent="0.25">
      <c r="E229" s="5"/>
      <c r="F229" s="5"/>
      <c r="G229" s="7"/>
      <c r="H229" s="7"/>
      <c r="I229" s="5"/>
      <c r="J229" s="10" t="e">
        <f>'PLAN CAP'!#REF!</f>
        <v>#REF!</v>
      </c>
      <c r="K229" s="13">
        <f>IF(G231=" "," ",(_xlfn.DAYS(PlanTrabajo[[#This Row],[FECHA DE FIN]],PlanTrabajo[[#This Row],[FECHA DE INICIO]])))</f>
        <v>0</v>
      </c>
    </row>
    <row r="230" spans="5:11" hidden="1" x14ac:dyDescent="0.25">
      <c r="E230" s="5"/>
      <c r="F230" s="5"/>
      <c r="G230" s="7"/>
      <c r="H230" s="7"/>
      <c r="I230" s="5"/>
      <c r="J230" s="10" t="e">
        <f>'PLAN CAP'!#REF!</f>
        <v>#REF!</v>
      </c>
      <c r="K230" s="13">
        <f>IF(G232=" "," ",(_xlfn.DAYS(PlanTrabajo[[#This Row],[FECHA DE FIN]],PlanTrabajo[[#This Row],[FECHA DE INICIO]])))</f>
        <v>0</v>
      </c>
    </row>
    <row r="231" spans="5:11" hidden="1" x14ac:dyDescent="0.25">
      <c r="E231" s="5"/>
      <c r="F231" s="5"/>
      <c r="G231" s="7"/>
      <c r="H231" s="7"/>
      <c r="I231" s="5"/>
      <c r="J231" s="10" t="e">
        <f>'PLAN CAP'!#REF!</f>
        <v>#REF!</v>
      </c>
      <c r="K231" s="13">
        <f>IF(G233=" "," ",(_xlfn.DAYS(PlanTrabajo[[#This Row],[FECHA DE FIN]],PlanTrabajo[[#This Row],[FECHA DE INICIO]])))</f>
        <v>0</v>
      </c>
    </row>
    <row r="232" spans="5:11" hidden="1" x14ac:dyDescent="0.25">
      <c r="E232" s="5"/>
      <c r="F232" s="5"/>
      <c r="G232" s="7"/>
      <c r="H232" s="7"/>
      <c r="I232" s="5"/>
      <c r="J232" s="10" t="e">
        <f>'PLAN CAP'!#REF!</f>
        <v>#REF!</v>
      </c>
      <c r="K232" s="13">
        <f>IF(G234=" "," ",(_xlfn.DAYS(PlanTrabajo[[#This Row],[FECHA DE FIN]],PlanTrabajo[[#This Row],[FECHA DE INICIO]])))</f>
        <v>0</v>
      </c>
    </row>
    <row r="233" spans="5:11" hidden="1" x14ac:dyDescent="0.25">
      <c r="E233" s="5"/>
      <c r="F233" s="5"/>
      <c r="G233" s="7"/>
      <c r="H233" s="7"/>
      <c r="I233" s="5"/>
      <c r="J233" s="10" t="e">
        <f>'PLAN CAP'!#REF!</f>
        <v>#REF!</v>
      </c>
      <c r="K233" s="13">
        <f>IF(G235=" "," ",(_xlfn.DAYS(PlanTrabajo[[#This Row],[FECHA DE FIN]],PlanTrabajo[[#This Row],[FECHA DE INICIO]])))</f>
        <v>0</v>
      </c>
    </row>
    <row r="234" spans="5:11" hidden="1" x14ac:dyDescent="0.25">
      <c r="E234" s="5"/>
      <c r="F234" s="5"/>
      <c r="G234" s="7"/>
      <c r="H234" s="7"/>
      <c r="I234" s="5"/>
      <c r="J234" s="10" t="e">
        <f>'PLAN CAP'!#REF!</f>
        <v>#REF!</v>
      </c>
      <c r="K234" s="13">
        <f>IF(G236=" "," ",(_xlfn.DAYS(PlanTrabajo[[#This Row],[FECHA DE FIN]],PlanTrabajo[[#This Row],[FECHA DE INICIO]])))</f>
        <v>0</v>
      </c>
    </row>
    <row r="235" spans="5:11" hidden="1" x14ac:dyDescent="0.25">
      <c r="E235" s="5"/>
      <c r="F235" s="5"/>
      <c r="G235" s="7"/>
      <c r="H235" s="7"/>
      <c r="I235" s="5"/>
      <c r="J235" s="10" t="e">
        <f>'PLAN CAP'!#REF!</f>
        <v>#REF!</v>
      </c>
      <c r="K235" s="13">
        <f>IF(G237=" "," ",(_xlfn.DAYS(PlanTrabajo[[#This Row],[FECHA DE FIN]],PlanTrabajo[[#This Row],[FECHA DE INICIO]])))</f>
        <v>0</v>
      </c>
    </row>
    <row r="236" spans="5:11" hidden="1" x14ac:dyDescent="0.25">
      <c r="E236" s="5"/>
      <c r="F236" s="5"/>
      <c r="G236" s="7"/>
      <c r="H236" s="7"/>
      <c r="I236" s="5"/>
      <c r="J236" s="10" t="e">
        <f>'PLAN CAP'!#REF!</f>
        <v>#REF!</v>
      </c>
      <c r="K236" s="13">
        <f>IF(G238=" "," ",(_xlfn.DAYS(PlanTrabajo[[#This Row],[FECHA DE FIN]],PlanTrabajo[[#This Row],[FECHA DE INICIO]])))</f>
        <v>0</v>
      </c>
    </row>
    <row r="237" spans="5:11" hidden="1" x14ac:dyDescent="0.25">
      <c r="E237" s="5"/>
      <c r="F237" s="5"/>
      <c r="G237" s="7"/>
      <c r="H237" s="7"/>
      <c r="I237" s="5"/>
      <c r="J237" s="10" t="e">
        <f>'PLAN CAP'!#REF!</f>
        <v>#REF!</v>
      </c>
      <c r="K237" s="13">
        <f>IF(G239=" "," ",(_xlfn.DAYS(PlanTrabajo[[#This Row],[FECHA DE FIN]],PlanTrabajo[[#This Row],[FECHA DE INICIO]])))</f>
        <v>0</v>
      </c>
    </row>
    <row r="238" spans="5:11" hidden="1" x14ac:dyDescent="0.25">
      <c r="E238" s="5"/>
      <c r="F238" s="5"/>
      <c r="G238" s="7"/>
      <c r="H238" s="7"/>
      <c r="I238" s="5"/>
      <c r="J238" s="10" t="e">
        <f>'PLAN CAP'!#REF!</f>
        <v>#REF!</v>
      </c>
      <c r="K238" s="13">
        <f>IF(G240=" "," ",(_xlfn.DAYS(PlanTrabajo[[#This Row],[FECHA DE FIN]],PlanTrabajo[[#This Row],[FECHA DE INICIO]])))</f>
        <v>0</v>
      </c>
    </row>
    <row r="239" spans="5:11" hidden="1" x14ac:dyDescent="0.25">
      <c r="E239" s="5"/>
      <c r="F239" s="5"/>
      <c r="G239" s="7"/>
      <c r="H239" s="7"/>
      <c r="I239" s="5"/>
      <c r="J239" s="10" t="e">
        <f>'PLAN CAP'!#REF!</f>
        <v>#REF!</v>
      </c>
      <c r="K239" s="13">
        <f>IF(G241=" "," ",(_xlfn.DAYS(PlanTrabajo[[#This Row],[FECHA DE FIN]],PlanTrabajo[[#This Row],[FECHA DE INICIO]])))</f>
        <v>0</v>
      </c>
    </row>
    <row r="240" spans="5:11" hidden="1" x14ac:dyDescent="0.25">
      <c r="E240" s="5"/>
      <c r="F240" s="5"/>
      <c r="G240" s="7"/>
      <c r="H240" s="7"/>
      <c r="I240" s="5"/>
      <c r="J240" s="10" t="e">
        <f>'PLAN CAP'!#REF!</f>
        <v>#REF!</v>
      </c>
      <c r="K240" s="13">
        <f>IF(G242=" "," ",(_xlfn.DAYS(PlanTrabajo[[#This Row],[FECHA DE FIN]],PlanTrabajo[[#This Row],[FECHA DE INICIO]])))</f>
        <v>0</v>
      </c>
    </row>
    <row r="241" spans="5:11" hidden="1" x14ac:dyDescent="0.25">
      <c r="E241" s="5"/>
      <c r="F241" s="5"/>
      <c r="G241" s="7"/>
      <c r="H241" s="7"/>
      <c r="I241" s="5"/>
      <c r="J241" s="10" t="e">
        <f>'PLAN CAP'!#REF!</f>
        <v>#REF!</v>
      </c>
      <c r="K241" s="13">
        <f>IF(G243=" "," ",(_xlfn.DAYS(PlanTrabajo[[#This Row],[FECHA DE FIN]],PlanTrabajo[[#This Row],[FECHA DE INICIO]])))</f>
        <v>0</v>
      </c>
    </row>
    <row r="242" spans="5:11" hidden="1" x14ac:dyDescent="0.25">
      <c r="E242" s="5"/>
      <c r="F242" s="5"/>
      <c r="G242" s="7"/>
      <c r="H242" s="7"/>
      <c r="I242" s="5"/>
      <c r="J242" s="10" t="e">
        <f>'PLAN CAP'!#REF!</f>
        <v>#REF!</v>
      </c>
      <c r="K242" s="13">
        <f>IF(G244=" "," ",(_xlfn.DAYS(PlanTrabajo[[#This Row],[FECHA DE FIN]],PlanTrabajo[[#This Row],[FECHA DE INICIO]])))</f>
        <v>0</v>
      </c>
    </row>
    <row r="243" spans="5:11" hidden="1" x14ac:dyDescent="0.25">
      <c r="E243" s="5"/>
      <c r="F243" s="5"/>
      <c r="G243" s="7"/>
      <c r="H243" s="7"/>
      <c r="I243" s="5"/>
      <c r="J243" s="10" t="e">
        <f>'PLAN CAP'!#REF!</f>
        <v>#REF!</v>
      </c>
      <c r="K243" s="13">
        <f>IF(G245=" "," ",(_xlfn.DAYS(PlanTrabajo[[#This Row],[FECHA DE FIN]],PlanTrabajo[[#This Row],[FECHA DE INICIO]])))</f>
        <v>0</v>
      </c>
    </row>
    <row r="244" spans="5:11" hidden="1" x14ac:dyDescent="0.25">
      <c r="E244" s="5"/>
      <c r="F244" s="5"/>
      <c r="G244" s="7"/>
      <c r="H244" s="7"/>
      <c r="I244" s="5"/>
      <c r="J244" s="10" t="e">
        <f>'PLAN CAP'!#REF!</f>
        <v>#REF!</v>
      </c>
      <c r="K244" s="13">
        <f>IF(G246=" "," ",(_xlfn.DAYS(PlanTrabajo[[#This Row],[FECHA DE FIN]],PlanTrabajo[[#This Row],[FECHA DE INICIO]])))</f>
        <v>0</v>
      </c>
    </row>
    <row r="245" spans="5:11" hidden="1" x14ac:dyDescent="0.25">
      <c r="E245" s="5"/>
      <c r="F245" s="5"/>
      <c r="G245" s="7"/>
      <c r="H245" s="7"/>
      <c r="I245" s="5"/>
      <c r="J245" s="10" t="e">
        <f>'PLAN CAP'!#REF!</f>
        <v>#REF!</v>
      </c>
      <c r="K245" s="13">
        <f>IF(G247=" "," ",(_xlfn.DAYS(PlanTrabajo[[#This Row],[FECHA DE FIN]],PlanTrabajo[[#This Row],[FECHA DE INICIO]])))</f>
        <v>0</v>
      </c>
    </row>
    <row r="246" spans="5:11" hidden="1" x14ac:dyDescent="0.25">
      <c r="E246" s="5"/>
      <c r="F246" s="5"/>
      <c r="G246" s="7"/>
      <c r="H246" s="7"/>
      <c r="I246" s="5"/>
      <c r="J246" s="10" t="e">
        <f>'PLAN CAP'!#REF!</f>
        <v>#REF!</v>
      </c>
      <c r="K246" s="13">
        <f>IF(G248=" "," ",(_xlfn.DAYS(PlanTrabajo[[#This Row],[FECHA DE FIN]],PlanTrabajo[[#This Row],[FECHA DE INICIO]])))</f>
        <v>0</v>
      </c>
    </row>
    <row r="247" spans="5:11" hidden="1" x14ac:dyDescent="0.25">
      <c r="E247" s="5"/>
      <c r="F247" s="5"/>
      <c r="G247" s="7"/>
      <c r="H247" s="7"/>
      <c r="I247" s="5"/>
      <c r="J247" s="10" t="e">
        <f>'PLAN CAP'!#REF!</f>
        <v>#REF!</v>
      </c>
      <c r="K247" s="13">
        <f>IF(G249=" "," ",(_xlfn.DAYS(PlanTrabajo[[#This Row],[FECHA DE FIN]],PlanTrabajo[[#This Row],[FECHA DE INICIO]])))</f>
        <v>0</v>
      </c>
    </row>
    <row r="248" spans="5:11" hidden="1" x14ac:dyDescent="0.25">
      <c r="E248" s="5"/>
      <c r="F248" s="5"/>
      <c r="G248" s="7"/>
      <c r="H248" s="7"/>
      <c r="I248" s="5"/>
      <c r="J248" s="10" t="e">
        <f>'PLAN CAP'!#REF!</f>
        <v>#REF!</v>
      </c>
      <c r="K248" s="13">
        <f>IF(G250=" "," ",(_xlfn.DAYS(PlanTrabajo[[#This Row],[FECHA DE FIN]],PlanTrabajo[[#This Row],[FECHA DE INICIO]])))</f>
        <v>0</v>
      </c>
    </row>
    <row r="249" spans="5:11" hidden="1" x14ac:dyDescent="0.25">
      <c r="E249" s="5"/>
      <c r="F249" s="5"/>
      <c r="G249" s="7"/>
      <c r="H249" s="7"/>
      <c r="I249" s="5"/>
      <c r="J249" s="10" t="e">
        <f>'PLAN CAP'!#REF!</f>
        <v>#REF!</v>
      </c>
      <c r="K249" s="13">
        <f>IF(G251=" "," ",(_xlfn.DAYS(PlanTrabajo[[#This Row],[FECHA DE FIN]],PlanTrabajo[[#This Row],[FECHA DE INICIO]])))</f>
        <v>0</v>
      </c>
    </row>
    <row r="250" spans="5:11" hidden="1" x14ac:dyDescent="0.25">
      <c r="E250" s="5"/>
      <c r="F250" s="5"/>
      <c r="G250" s="7"/>
      <c r="H250" s="7"/>
      <c r="I250" s="5"/>
      <c r="J250" s="10" t="e">
        <f>'PLAN CAP'!#REF!</f>
        <v>#REF!</v>
      </c>
      <c r="K250" s="13">
        <f>IF(G252=" "," ",(_xlfn.DAYS(PlanTrabajo[[#This Row],[FECHA DE FIN]],PlanTrabajo[[#This Row],[FECHA DE INICIO]])))</f>
        <v>0</v>
      </c>
    </row>
    <row r="251" spans="5:11" hidden="1" x14ac:dyDescent="0.25">
      <c r="E251" s="5"/>
      <c r="F251" s="5"/>
      <c r="G251" s="7"/>
      <c r="H251" s="7"/>
      <c r="I251" s="5"/>
      <c r="J251" s="10" t="e">
        <f>'PLAN CAP'!#REF!</f>
        <v>#REF!</v>
      </c>
      <c r="K251" s="13">
        <f>IF(G253=" "," ",(_xlfn.DAYS(PlanTrabajo[[#This Row],[FECHA DE FIN]],PlanTrabajo[[#This Row],[FECHA DE INICIO]])))</f>
        <v>0</v>
      </c>
    </row>
    <row r="252" spans="5:11" hidden="1" x14ac:dyDescent="0.25">
      <c r="E252" s="5"/>
      <c r="F252" s="5"/>
      <c r="G252" s="7"/>
      <c r="H252" s="7"/>
      <c r="I252" s="5"/>
      <c r="J252" s="10" t="e">
        <f>'PLAN CAP'!#REF!</f>
        <v>#REF!</v>
      </c>
      <c r="K252" s="13">
        <f>IF(G254=" "," ",(_xlfn.DAYS(PlanTrabajo[[#This Row],[FECHA DE FIN]],PlanTrabajo[[#This Row],[FECHA DE INICIO]])))</f>
        <v>0</v>
      </c>
    </row>
    <row r="253" spans="5:11" hidden="1" x14ac:dyDescent="0.25">
      <c r="E253" s="5"/>
      <c r="F253" s="5"/>
      <c r="G253" s="7"/>
      <c r="H253" s="7"/>
      <c r="I253" s="5"/>
      <c r="J253" s="10" t="e">
        <f>'PLAN CAP'!#REF!</f>
        <v>#REF!</v>
      </c>
      <c r="K253" s="13">
        <f>IF(G255=" "," ",(_xlfn.DAYS(PlanTrabajo[[#This Row],[FECHA DE FIN]],PlanTrabajo[[#This Row],[FECHA DE INICIO]])))</f>
        <v>0</v>
      </c>
    </row>
    <row r="254" spans="5:11" hidden="1" x14ac:dyDescent="0.25">
      <c r="E254" s="5"/>
      <c r="F254" s="5"/>
      <c r="G254" s="7"/>
      <c r="H254" s="7"/>
      <c r="I254" s="5"/>
      <c r="J254" s="10" t="e">
        <f>'PLAN CAP'!#REF!</f>
        <v>#REF!</v>
      </c>
      <c r="K254" s="13">
        <f>IF(G256=" "," ",(_xlfn.DAYS(PlanTrabajo[[#This Row],[FECHA DE FIN]],PlanTrabajo[[#This Row],[FECHA DE INICIO]])))</f>
        <v>0</v>
      </c>
    </row>
    <row r="255" spans="5:11" hidden="1" x14ac:dyDescent="0.25">
      <c r="E255" s="5"/>
      <c r="F255" s="5"/>
      <c r="G255" s="7"/>
      <c r="H255" s="7"/>
      <c r="I255" s="5"/>
      <c r="J255" s="10" t="e">
        <f>'PLAN CAP'!#REF!</f>
        <v>#REF!</v>
      </c>
      <c r="K255" s="13">
        <f>IF(G257=" "," ",(_xlfn.DAYS(PlanTrabajo[[#This Row],[FECHA DE FIN]],PlanTrabajo[[#This Row],[FECHA DE INICIO]])))</f>
        <v>0</v>
      </c>
    </row>
    <row r="256" spans="5:11" hidden="1" x14ac:dyDescent="0.25">
      <c r="E256" s="5"/>
      <c r="F256" s="5"/>
      <c r="G256" s="7"/>
      <c r="H256" s="7"/>
      <c r="I256" s="5"/>
      <c r="J256" s="10" t="e">
        <f>'PLAN CAP'!#REF!</f>
        <v>#REF!</v>
      </c>
      <c r="K256" s="13">
        <f>IF(G258=" "," ",(_xlfn.DAYS(PlanTrabajo[[#This Row],[FECHA DE FIN]],PlanTrabajo[[#This Row],[FECHA DE INICIO]])))</f>
        <v>0</v>
      </c>
    </row>
    <row r="257" spans="5:11" hidden="1" x14ac:dyDescent="0.25">
      <c r="E257" s="5"/>
      <c r="F257" s="5"/>
      <c r="G257" s="7"/>
      <c r="H257" s="7"/>
      <c r="I257" s="5"/>
      <c r="J257" s="10" t="e">
        <f>'PLAN CAP'!#REF!</f>
        <v>#REF!</v>
      </c>
      <c r="K257" s="13">
        <f>IF(G259=" "," ",(_xlfn.DAYS(PlanTrabajo[[#This Row],[FECHA DE FIN]],PlanTrabajo[[#This Row],[FECHA DE INICIO]])))</f>
        <v>0</v>
      </c>
    </row>
    <row r="258" spans="5:11" hidden="1" x14ac:dyDescent="0.25">
      <c r="E258" s="5"/>
      <c r="F258" s="5"/>
      <c r="G258" s="7"/>
      <c r="H258" s="7"/>
      <c r="I258" s="5"/>
      <c r="J258" s="10" t="e">
        <f>'PLAN CAP'!#REF!</f>
        <v>#REF!</v>
      </c>
      <c r="K258" s="13">
        <f>IF(G260=" "," ",(_xlfn.DAYS(PlanTrabajo[[#This Row],[FECHA DE FIN]],PlanTrabajo[[#This Row],[FECHA DE INICIO]])))</f>
        <v>0</v>
      </c>
    </row>
    <row r="259" spans="5:11" hidden="1" x14ac:dyDescent="0.25">
      <c r="E259" s="5"/>
      <c r="F259" s="5"/>
      <c r="G259" s="7"/>
      <c r="H259" s="7"/>
      <c r="I259" s="5"/>
      <c r="J259" s="10" t="e">
        <f>'PLAN CAP'!#REF!</f>
        <v>#REF!</v>
      </c>
      <c r="K259" s="13">
        <f>IF(G261=" "," ",(_xlfn.DAYS(PlanTrabajo[[#This Row],[FECHA DE FIN]],PlanTrabajo[[#This Row],[FECHA DE INICIO]])))</f>
        <v>0</v>
      </c>
    </row>
    <row r="260" spans="5:11" hidden="1" x14ac:dyDescent="0.25">
      <c r="E260" s="5"/>
      <c r="F260" s="5"/>
      <c r="G260" s="7"/>
      <c r="H260" s="7"/>
      <c r="I260" s="5"/>
      <c r="J260" s="10" t="e">
        <f>'PLAN CAP'!#REF!</f>
        <v>#REF!</v>
      </c>
      <c r="K260" s="13">
        <f>IF(G262=" "," ",(_xlfn.DAYS(PlanTrabajo[[#This Row],[FECHA DE FIN]],PlanTrabajo[[#This Row],[FECHA DE INICIO]])))</f>
        <v>0</v>
      </c>
    </row>
    <row r="261" spans="5:11" hidden="1" x14ac:dyDescent="0.25">
      <c r="E261" s="5"/>
      <c r="F261" s="5"/>
      <c r="G261" s="7"/>
      <c r="H261" s="7"/>
      <c r="I261" s="5"/>
      <c r="J261" s="10" t="e">
        <f>'PLAN CAP'!#REF!</f>
        <v>#REF!</v>
      </c>
      <c r="K261" s="13">
        <f>IF(G263=" "," ",(_xlfn.DAYS(PlanTrabajo[[#This Row],[FECHA DE FIN]],PlanTrabajo[[#This Row],[FECHA DE INICIO]])))</f>
        <v>0</v>
      </c>
    </row>
    <row r="262" spans="5:11" hidden="1" x14ac:dyDescent="0.25">
      <c r="E262" s="5"/>
      <c r="F262" s="5"/>
      <c r="G262" s="7"/>
      <c r="H262" s="7"/>
      <c r="I262" s="5"/>
      <c r="J262" s="10" t="e">
        <f>'PLAN CAP'!#REF!</f>
        <v>#REF!</v>
      </c>
      <c r="K262" s="13">
        <f>IF(G264=" "," ",(_xlfn.DAYS(PlanTrabajo[[#This Row],[FECHA DE FIN]],PlanTrabajo[[#This Row],[FECHA DE INICIO]])))</f>
        <v>0</v>
      </c>
    </row>
    <row r="263" spans="5:11" hidden="1" x14ac:dyDescent="0.25">
      <c r="E263" s="5"/>
      <c r="F263" s="5"/>
      <c r="G263" s="7"/>
      <c r="H263" s="7"/>
      <c r="I263" s="5"/>
      <c r="J263" s="10" t="e">
        <f>'PLAN CAP'!#REF!</f>
        <v>#REF!</v>
      </c>
      <c r="K263" s="13">
        <f>IF(G265=" "," ",(_xlfn.DAYS(PlanTrabajo[[#This Row],[FECHA DE FIN]],PlanTrabajo[[#This Row],[FECHA DE INICIO]])))</f>
        <v>0</v>
      </c>
    </row>
    <row r="264" spans="5:11" hidden="1" x14ac:dyDescent="0.25">
      <c r="E264" s="5"/>
      <c r="F264" s="5"/>
      <c r="G264" s="7"/>
      <c r="H264" s="7"/>
      <c r="I264" s="5"/>
      <c r="J264" s="10" t="e">
        <f>'PLAN CAP'!#REF!</f>
        <v>#REF!</v>
      </c>
      <c r="K264" s="13">
        <f>IF(G266=" "," ",(_xlfn.DAYS(PlanTrabajo[[#This Row],[FECHA DE FIN]],PlanTrabajo[[#This Row],[FECHA DE INICIO]])))</f>
        <v>0</v>
      </c>
    </row>
    <row r="265" spans="5:11" hidden="1" x14ac:dyDescent="0.25">
      <c r="E265" s="5"/>
      <c r="F265" s="5"/>
      <c r="G265" s="7"/>
      <c r="H265" s="7"/>
      <c r="I265" s="5"/>
      <c r="J265" s="10" t="e">
        <f>'PLAN CAP'!#REF!</f>
        <v>#REF!</v>
      </c>
      <c r="K265" s="13">
        <f>IF(G267=" "," ",(_xlfn.DAYS(PlanTrabajo[[#This Row],[FECHA DE FIN]],PlanTrabajo[[#This Row],[FECHA DE INICIO]])))</f>
        <v>0</v>
      </c>
    </row>
    <row r="266" spans="5:11" hidden="1" x14ac:dyDescent="0.25">
      <c r="E266" s="5"/>
      <c r="F266" s="5"/>
      <c r="G266" s="7"/>
      <c r="H266" s="7"/>
      <c r="I266" s="5"/>
      <c r="J266" s="10" t="e">
        <f>'PLAN CAP'!#REF!</f>
        <v>#REF!</v>
      </c>
      <c r="K266" s="13">
        <f>IF(G268=" "," ",(_xlfn.DAYS(PlanTrabajo[[#This Row],[FECHA DE FIN]],PlanTrabajo[[#This Row],[FECHA DE INICIO]])))</f>
        <v>0</v>
      </c>
    </row>
    <row r="267" spans="5:11" hidden="1" x14ac:dyDescent="0.25">
      <c r="E267" s="5"/>
      <c r="F267" s="5"/>
      <c r="G267" s="7"/>
      <c r="H267" s="7"/>
      <c r="I267" s="5"/>
      <c r="J267" s="10" t="e">
        <f>'PLAN CAP'!#REF!</f>
        <v>#REF!</v>
      </c>
      <c r="K267" s="13">
        <f>IF(G269=" "," ",(_xlfn.DAYS(PlanTrabajo[[#This Row],[FECHA DE FIN]],PlanTrabajo[[#This Row],[FECHA DE INICIO]])))</f>
        <v>0</v>
      </c>
    </row>
    <row r="268" spans="5:11" hidden="1" x14ac:dyDescent="0.25">
      <c r="E268" s="5"/>
      <c r="F268" s="5"/>
      <c r="G268" s="7"/>
      <c r="H268" s="7"/>
      <c r="I268" s="5"/>
      <c r="J268" s="10" t="e">
        <f>'PLAN CAP'!#REF!</f>
        <v>#REF!</v>
      </c>
      <c r="K268" s="13">
        <f>IF(G270=" "," ",(_xlfn.DAYS(PlanTrabajo[[#This Row],[FECHA DE FIN]],PlanTrabajo[[#This Row],[FECHA DE INICIO]])))</f>
        <v>0</v>
      </c>
    </row>
    <row r="269" spans="5:11" hidden="1" x14ac:dyDescent="0.25">
      <c r="E269" s="5"/>
      <c r="F269" s="5"/>
      <c r="G269" s="7"/>
      <c r="H269" s="7"/>
      <c r="I269" s="5"/>
      <c r="J269" s="10" t="e">
        <f>'PLAN CAP'!#REF!</f>
        <v>#REF!</v>
      </c>
      <c r="K269" s="13">
        <f>IF(G271=" "," ",(_xlfn.DAYS(PlanTrabajo[[#This Row],[FECHA DE FIN]],PlanTrabajo[[#This Row],[FECHA DE INICIO]])))</f>
        <v>0</v>
      </c>
    </row>
    <row r="270" spans="5:11" hidden="1" x14ac:dyDescent="0.25">
      <c r="E270" s="5"/>
      <c r="F270" s="5"/>
      <c r="G270" s="7"/>
      <c r="H270" s="7"/>
      <c r="I270" s="5"/>
      <c r="J270" s="10" t="e">
        <f>'PLAN CAP'!#REF!</f>
        <v>#REF!</v>
      </c>
      <c r="K270" s="13">
        <f>IF(G272=" "," ",(_xlfn.DAYS(PlanTrabajo[[#This Row],[FECHA DE FIN]],PlanTrabajo[[#This Row],[FECHA DE INICIO]])))</f>
        <v>0</v>
      </c>
    </row>
    <row r="271" spans="5:11" hidden="1" x14ac:dyDescent="0.25">
      <c r="E271" s="5"/>
      <c r="F271" s="5"/>
      <c r="G271" s="7"/>
      <c r="H271" s="7"/>
      <c r="I271" s="5"/>
      <c r="J271" s="10" t="e">
        <f>'PLAN CAP'!#REF!</f>
        <v>#REF!</v>
      </c>
      <c r="K271" s="13">
        <f>IF(G273=" "," ",(_xlfn.DAYS(PlanTrabajo[[#This Row],[FECHA DE FIN]],PlanTrabajo[[#This Row],[FECHA DE INICIO]])))</f>
        <v>0</v>
      </c>
    </row>
    <row r="272" spans="5:11" hidden="1" x14ac:dyDescent="0.25">
      <c r="E272" s="5"/>
      <c r="F272" s="5"/>
      <c r="G272" s="7"/>
      <c r="H272" s="7"/>
      <c r="I272" s="5"/>
      <c r="J272" s="10" t="e">
        <f>'PLAN CAP'!#REF!</f>
        <v>#REF!</v>
      </c>
      <c r="K272" s="13">
        <f>IF(G274=" "," ",(_xlfn.DAYS(PlanTrabajo[[#This Row],[FECHA DE FIN]],PlanTrabajo[[#This Row],[FECHA DE INICIO]])))</f>
        <v>0</v>
      </c>
    </row>
    <row r="273" spans="5:11" hidden="1" x14ac:dyDescent="0.25">
      <c r="E273" s="5"/>
      <c r="F273" s="5"/>
      <c r="G273" s="7"/>
      <c r="H273" s="7"/>
      <c r="I273" s="5"/>
      <c r="J273" s="10" t="e">
        <f>'PLAN CAP'!#REF!</f>
        <v>#REF!</v>
      </c>
      <c r="K273" s="13">
        <f>IF(G275=" "," ",(_xlfn.DAYS(PlanTrabajo[[#This Row],[FECHA DE FIN]],PlanTrabajo[[#This Row],[FECHA DE INICIO]])))</f>
        <v>0</v>
      </c>
    </row>
    <row r="274" spans="5:11" hidden="1" x14ac:dyDescent="0.25">
      <c r="E274" s="5"/>
      <c r="F274" s="5"/>
      <c r="G274" s="7"/>
      <c r="H274" s="7"/>
      <c r="I274" s="5"/>
      <c r="J274" s="10" t="e">
        <f>'PLAN CAP'!#REF!</f>
        <v>#REF!</v>
      </c>
      <c r="K274" s="13">
        <f>IF(G276=" "," ",(_xlfn.DAYS(PlanTrabajo[[#This Row],[FECHA DE FIN]],PlanTrabajo[[#This Row],[FECHA DE INICIO]])))</f>
        <v>0</v>
      </c>
    </row>
    <row r="275" spans="5:11" hidden="1" x14ac:dyDescent="0.25">
      <c r="E275" s="5"/>
      <c r="F275" s="5"/>
      <c r="G275" s="7"/>
      <c r="H275" s="7"/>
      <c r="I275" s="5"/>
      <c r="J275" s="10" t="e">
        <f>'PLAN CAP'!#REF!</f>
        <v>#REF!</v>
      </c>
      <c r="K275" s="13">
        <f>IF(G277=" "," ",(_xlfn.DAYS(PlanTrabajo[[#This Row],[FECHA DE FIN]],PlanTrabajo[[#This Row],[FECHA DE INICIO]])))</f>
        <v>0</v>
      </c>
    </row>
    <row r="276" spans="5:11" hidden="1" x14ac:dyDescent="0.25">
      <c r="E276" s="5"/>
      <c r="F276" s="5"/>
      <c r="G276" s="7"/>
      <c r="H276" s="7"/>
      <c r="I276" s="5"/>
      <c r="J276" s="10" t="e">
        <f>'PLAN CAP'!#REF!</f>
        <v>#REF!</v>
      </c>
      <c r="K276" s="13">
        <f>IF(G278=" "," ",(_xlfn.DAYS(PlanTrabajo[[#This Row],[FECHA DE FIN]],PlanTrabajo[[#This Row],[FECHA DE INICIO]])))</f>
        <v>0</v>
      </c>
    </row>
    <row r="277" spans="5:11" hidden="1" x14ac:dyDescent="0.25">
      <c r="E277" s="5"/>
      <c r="F277" s="5"/>
      <c r="G277" s="7"/>
      <c r="H277" s="7"/>
      <c r="I277" s="5"/>
      <c r="J277" s="10" t="e">
        <f>'PLAN CAP'!#REF!</f>
        <v>#REF!</v>
      </c>
      <c r="K277" s="13">
        <f>IF(G279=" "," ",(_xlfn.DAYS(PlanTrabajo[[#This Row],[FECHA DE FIN]],PlanTrabajo[[#This Row],[FECHA DE INICIO]])))</f>
        <v>0</v>
      </c>
    </row>
    <row r="278" spans="5:11" hidden="1" x14ac:dyDescent="0.25">
      <c r="E278" s="5"/>
      <c r="F278" s="5"/>
      <c r="G278" s="7"/>
      <c r="H278" s="7"/>
      <c r="I278" s="5"/>
      <c r="J278" s="10" t="e">
        <f>'PLAN CAP'!#REF!</f>
        <v>#REF!</v>
      </c>
      <c r="K278" s="13">
        <f>IF(G280=" "," ",(_xlfn.DAYS(PlanTrabajo[[#This Row],[FECHA DE FIN]],PlanTrabajo[[#This Row],[FECHA DE INICIO]])))</f>
        <v>0</v>
      </c>
    </row>
    <row r="279" spans="5:11" hidden="1" x14ac:dyDescent="0.25">
      <c r="E279" s="5"/>
      <c r="F279" s="5"/>
      <c r="G279" s="7"/>
      <c r="H279" s="7"/>
      <c r="I279" s="5"/>
      <c r="J279" s="10" t="e">
        <f>'PLAN CAP'!#REF!</f>
        <v>#REF!</v>
      </c>
      <c r="K279" s="13">
        <f>IF(G281=" "," ",(_xlfn.DAYS(PlanTrabajo[[#This Row],[FECHA DE FIN]],PlanTrabajo[[#This Row],[FECHA DE INICIO]])))</f>
        <v>0</v>
      </c>
    </row>
    <row r="280" spans="5:11" hidden="1" x14ac:dyDescent="0.25">
      <c r="E280" s="5"/>
      <c r="F280" s="5"/>
      <c r="G280" s="7"/>
      <c r="H280" s="7"/>
      <c r="I280" s="5"/>
      <c r="J280" s="10" t="e">
        <f>'PLAN CAP'!#REF!</f>
        <v>#REF!</v>
      </c>
      <c r="K280" s="13">
        <f>IF(G282=" "," ",(_xlfn.DAYS(PlanTrabajo[[#This Row],[FECHA DE FIN]],PlanTrabajo[[#This Row],[FECHA DE INICIO]])))</f>
        <v>0</v>
      </c>
    </row>
    <row r="281" spans="5:11" hidden="1" x14ac:dyDescent="0.25">
      <c r="E281" s="5"/>
      <c r="F281" s="5"/>
      <c r="G281" s="7"/>
      <c r="H281" s="7"/>
      <c r="I281" s="5"/>
      <c r="J281" s="10" t="e">
        <f>'PLAN CAP'!#REF!</f>
        <v>#REF!</v>
      </c>
      <c r="K281" s="13">
        <f>IF(G283=" "," ",(_xlfn.DAYS(PlanTrabajo[[#This Row],[FECHA DE FIN]],PlanTrabajo[[#This Row],[FECHA DE INICIO]])))</f>
        <v>0</v>
      </c>
    </row>
    <row r="282" spans="5:11" hidden="1" x14ac:dyDescent="0.25">
      <c r="E282" s="5"/>
      <c r="F282" s="5"/>
      <c r="G282" s="7"/>
      <c r="H282" s="7"/>
      <c r="I282" s="5"/>
      <c r="J282" s="10" t="e">
        <f>'PLAN CAP'!#REF!</f>
        <v>#REF!</v>
      </c>
      <c r="K282" s="13">
        <f>IF(G284=" "," ",(_xlfn.DAYS(PlanTrabajo[[#This Row],[FECHA DE FIN]],PlanTrabajo[[#This Row],[FECHA DE INICIO]])))</f>
        <v>0</v>
      </c>
    </row>
    <row r="283" spans="5:11" hidden="1" x14ac:dyDescent="0.25">
      <c r="E283" s="5"/>
      <c r="F283" s="5"/>
      <c r="G283" s="7"/>
      <c r="H283" s="7"/>
      <c r="I283" s="5"/>
      <c r="J283" s="10" t="e">
        <f>'PLAN CAP'!#REF!</f>
        <v>#REF!</v>
      </c>
      <c r="K283" s="13">
        <f>IF(G285=" "," ",(_xlfn.DAYS(PlanTrabajo[[#This Row],[FECHA DE FIN]],PlanTrabajo[[#This Row],[FECHA DE INICIO]])))</f>
        <v>0</v>
      </c>
    </row>
    <row r="284" spans="5:11" hidden="1" x14ac:dyDescent="0.25">
      <c r="E284" s="5"/>
      <c r="F284" s="5"/>
      <c r="G284" s="7"/>
      <c r="H284" s="7"/>
      <c r="I284" s="5"/>
      <c r="J284" s="10" t="e">
        <f>'PLAN CAP'!#REF!</f>
        <v>#REF!</v>
      </c>
      <c r="K284" s="13">
        <f>IF(G286=" "," ",(_xlfn.DAYS(PlanTrabajo[[#This Row],[FECHA DE FIN]],PlanTrabajo[[#This Row],[FECHA DE INICIO]])))</f>
        <v>0</v>
      </c>
    </row>
    <row r="285" spans="5:11" hidden="1" x14ac:dyDescent="0.25">
      <c r="E285" s="5"/>
      <c r="F285" s="5"/>
      <c r="G285" s="7"/>
      <c r="H285" s="7"/>
      <c r="I285" s="5"/>
      <c r="J285" s="10" t="e">
        <f>'PLAN CAP'!#REF!</f>
        <v>#REF!</v>
      </c>
      <c r="K285" s="13">
        <f>IF(G287=" "," ",(_xlfn.DAYS(PlanTrabajo[[#This Row],[FECHA DE FIN]],PlanTrabajo[[#This Row],[FECHA DE INICIO]])))</f>
        <v>0</v>
      </c>
    </row>
    <row r="286" spans="5:11" hidden="1" x14ac:dyDescent="0.25">
      <c r="E286" s="5"/>
      <c r="F286" s="5"/>
      <c r="G286" s="7"/>
      <c r="H286" s="7"/>
      <c r="I286" s="5"/>
      <c r="J286" s="10" t="e">
        <f>'PLAN CAP'!#REF!</f>
        <v>#REF!</v>
      </c>
      <c r="K286" s="13">
        <f>IF(G288=" "," ",(_xlfn.DAYS(PlanTrabajo[[#This Row],[FECHA DE FIN]],PlanTrabajo[[#This Row],[FECHA DE INICIO]])))</f>
        <v>0</v>
      </c>
    </row>
    <row r="287" spans="5:11" hidden="1" x14ac:dyDescent="0.25">
      <c r="E287" s="5"/>
      <c r="F287" s="5"/>
      <c r="G287" s="7"/>
      <c r="H287" s="7"/>
      <c r="I287" s="5"/>
      <c r="J287" s="10" t="e">
        <f>'PLAN CAP'!#REF!</f>
        <v>#REF!</v>
      </c>
      <c r="K287" s="13">
        <f>IF(G289=" "," ",(_xlfn.DAYS(PlanTrabajo[[#This Row],[FECHA DE FIN]],PlanTrabajo[[#This Row],[FECHA DE INICIO]])))</f>
        <v>0</v>
      </c>
    </row>
    <row r="288" spans="5:11" hidden="1" x14ac:dyDescent="0.25">
      <c r="E288" s="5"/>
      <c r="F288" s="5"/>
      <c r="G288" s="7"/>
      <c r="H288" s="7"/>
      <c r="I288" s="5"/>
      <c r="J288" s="10" t="e">
        <f>'PLAN CAP'!#REF!</f>
        <v>#REF!</v>
      </c>
      <c r="K288" s="13">
        <f>IF(G290=" "," ",(_xlfn.DAYS(PlanTrabajo[[#This Row],[FECHA DE FIN]],PlanTrabajo[[#This Row],[FECHA DE INICIO]])))</f>
        <v>0</v>
      </c>
    </row>
    <row r="289" spans="5:11" hidden="1" x14ac:dyDescent="0.25">
      <c r="E289" s="5"/>
      <c r="F289" s="5"/>
      <c r="G289" s="7"/>
      <c r="H289" s="7"/>
      <c r="I289" s="5"/>
      <c r="J289" s="10" t="e">
        <f>'PLAN CAP'!#REF!</f>
        <v>#REF!</v>
      </c>
      <c r="K289" s="13">
        <f>IF(G291=" "," ",(_xlfn.DAYS(PlanTrabajo[[#This Row],[FECHA DE FIN]],PlanTrabajo[[#This Row],[FECHA DE INICIO]])))</f>
        <v>0</v>
      </c>
    </row>
    <row r="290" spans="5:11" hidden="1" x14ac:dyDescent="0.25">
      <c r="E290" s="5"/>
      <c r="F290" s="5"/>
      <c r="G290" s="7"/>
      <c r="H290" s="7"/>
      <c r="I290" s="5"/>
      <c r="J290" s="10" t="e">
        <f>'PLAN CAP'!#REF!</f>
        <v>#REF!</v>
      </c>
      <c r="K290" s="13">
        <f>IF(G292=" "," ",(_xlfn.DAYS(PlanTrabajo[[#This Row],[FECHA DE FIN]],PlanTrabajo[[#This Row],[FECHA DE INICIO]])))</f>
        <v>0</v>
      </c>
    </row>
    <row r="291" spans="5:11" hidden="1" x14ac:dyDescent="0.25">
      <c r="E291" s="5"/>
      <c r="F291" s="5"/>
      <c r="G291" s="7"/>
      <c r="H291" s="7"/>
      <c r="I291" s="5"/>
      <c r="J291" s="10" t="e">
        <f>'PLAN CAP'!#REF!</f>
        <v>#REF!</v>
      </c>
      <c r="K291" s="13">
        <f>IF(G293=" "," ",(_xlfn.DAYS(PlanTrabajo[[#This Row],[FECHA DE FIN]],PlanTrabajo[[#This Row],[FECHA DE INICIO]])))</f>
        <v>0</v>
      </c>
    </row>
    <row r="292" spans="5:11" hidden="1" x14ac:dyDescent="0.25">
      <c r="E292" s="5"/>
      <c r="F292" s="5"/>
      <c r="G292" s="7"/>
      <c r="H292" s="7"/>
      <c r="I292" s="5"/>
      <c r="J292" s="10" t="e">
        <f>'PLAN CAP'!#REF!</f>
        <v>#REF!</v>
      </c>
      <c r="K292" s="13">
        <f>IF(G294=" "," ",(_xlfn.DAYS(PlanTrabajo[[#This Row],[FECHA DE FIN]],PlanTrabajo[[#This Row],[FECHA DE INICIO]])))</f>
        <v>0</v>
      </c>
    </row>
    <row r="293" spans="5:11" hidden="1" x14ac:dyDescent="0.25">
      <c r="E293" s="5"/>
      <c r="F293" s="5"/>
      <c r="G293" s="7"/>
      <c r="H293" s="7"/>
      <c r="I293" s="5"/>
      <c r="J293" s="10" t="e">
        <f>'PLAN CAP'!#REF!</f>
        <v>#REF!</v>
      </c>
      <c r="K293" s="13">
        <f>IF(G295=" "," ",(_xlfn.DAYS(PlanTrabajo[[#This Row],[FECHA DE FIN]],PlanTrabajo[[#This Row],[FECHA DE INICIO]])))</f>
        <v>0</v>
      </c>
    </row>
    <row r="294" spans="5:11" hidden="1" x14ac:dyDescent="0.25">
      <c r="E294" s="5"/>
      <c r="F294" s="5"/>
      <c r="G294" s="7"/>
      <c r="H294" s="7"/>
      <c r="I294" s="5"/>
      <c r="J294" s="10" t="e">
        <f>'PLAN CAP'!#REF!</f>
        <v>#REF!</v>
      </c>
      <c r="K294" s="13">
        <f>IF(G296=" "," ",(_xlfn.DAYS(PlanTrabajo[[#This Row],[FECHA DE FIN]],PlanTrabajo[[#This Row],[FECHA DE INICIO]])))</f>
        <v>0</v>
      </c>
    </row>
    <row r="295" spans="5:11" hidden="1" x14ac:dyDescent="0.25">
      <c r="E295" s="5"/>
      <c r="F295" s="5"/>
      <c r="G295" s="7"/>
      <c r="H295" s="7"/>
      <c r="I295" s="5"/>
      <c r="J295" s="10" t="e">
        <f>'PLAN CAP'!#REF!</f>
        <v>#REF!</v>
      </c>
      <c r="K295" s="13">
        <f>IF(G297=" "," ",(_xlfn.DAYS(PlanTrabajo[[#This Row],[FECHA DE FIN]],PlanTrabajo[[#This Row],[FECHA DE INICIO]])))</f>
        <v>0</v>
      </c>
    </row>
    <row r="296" spans="5:11" hidden="1" x14ac:dyDescent="0.25">
      <c r="E296" s="5"/>
      <c r="F296" s="5"/>
      <c r="G296" s="7"/>
      <c r="H296" s="7"/>
      <c r="I296" s="5"/>
      <c r="J296" s="10" t="e">
        <f>'PLAN CAP'!#REF!</f>
        <v>#REF!</v>
      </c>
      <c r="K296" s="13">
        <f>IF(G298=" "," ",(_xlfn.DAYS(PlanTrabajo[[#This Row],[FECHA DE FIN]],PlanTrabajo[[#This Row],[FECHA DE INICIO]])))</f>
        <v>0</v>
      </c>
    </row>
    <row r="297" spans="5:11" hidden="1" x14ac:dyDescent="0.25">
      <c r="E297" s="5"/>
      <c r="F297" s="5"/>
      <c r="G297" s="7"/>
      <c r="H297" s="7"/>
      <c r="I297" s="5"/>
      <c r="J297" s="10" t="e">
        <f>'PLAN CAP'!#REF!</f>
        <v>#REF!</v>
      </c>
      <c r="K297" s="13">
        <f>IF(G299=" "," ",(_xlfn.DAYS(PlanTrabajo[[#This Row],[FECHA DE FIN]],PlanTrabajo[[#This Row],[FECHA DE INICIO]])))</f>
        <v>0</v>
      </c>
    </row>
    <row r="298" spans="5:11" hidden="1" x14ac:dyDescent="0.25">
      <c r="E298" s="5"/>
      <c r="F298" s="5"/>
      <c r="G298" s="7"/>
      <c r="H298" s="7"/>
      <c r="I298" s="5"/>
      <c r="J298" s="10" t="e">
        <f>'PLAN CAP'!#REF!</f>
        <v>#REF!</v>
      </c>
      <c r="K298" s="13">
        <f>IF(G300=" "," ",(_xlfn.DAYS(PlanTrabajo[[#This Row],[FECHA DE FIN]],PlanTrabajo[[#This Row],[FECHA DE INICIO]])))</f>
        <v>0</v>
      </c>
    </row>
    <row r="299" spans="5:11" hidden="1" x14ac:dyDescent="0.25">
      <c r="E299" s="5"/>
      <c r="F299" s="5"/>
      <c r="G299" s="7"/>
      <c r="H299" s="7"/>
      <c r="I299" s="5"/>
      <c r="J299" s="10" t="e">
        <f>'PLAN CAP'!#REF!</f>
        <v>#REF!</v>
      </c>
      <c r="K299" s="13">
        <f>IF(G301=" "," ",(_xlfn.DAYS(PlanTrabajo[[#This Row],[FECHA DE FIN]],PlanTrabajo[[#This Row],[FECHA DE INICIO]])))</f>
        <v>0</v>
      </c>
    </row>
    <row r="300" spans="5:11" hidden="1" x14ac:dyDescent="0.25">
      <c r="E300" s="5"/>
      <c r="F300" s="5"/>
      <c r="G300" s="7"/>
      <c r="H300" s="7"/>
      <c r="I300" s="5"/>
      <c r="J300" s="10" t="e">
        <f>'PLAN CAP'!#REF!</f>
        <v>#REF!</v>
      </c>
      <c r="K300" s="13">
        <f>IF(G302=" "," ",(_xlfn.DAYS(PlanTrabajo[[#This Row],[FECHA DE FIN]],PlanTrabajo[[#This Row],[FECHA DE INICIO]])))</f>
        <v>0</v>
      </c>
    </row>
    <row r="301" spans="5:11" hidden="1" x14ac:dyDescent="0.25">
      <c r="E301" s="5"/>
      <c r="F301" s="5"/>
      <c r="G301" s="7"/>
      <c r="H301" s="7"/>
      <c r="I301" s="5"/>
      <c r="J301" s="10" t="e">
        <f>'PLAN CAP'!#REF!</f>
        <v>#REF!</v>
      </c>
      <c r="K301" s="13">
        <f>IF(G303=" "," ",(_xlfn.DAYS(PlanTrabajo[[#This Row],[FECHA DE FIN]],PlanTrabajo[[#This Row],[FECHA DE INICIO]])))</f>
        <v>0</v>
      </c>
    </row>
    <row r="302" spans="5:11" hidden="1" x14ac:dyDescent="0.25">
      <c r="E302" s="5"/>
      <c r="F302" s="5"/>
      <c r="G302" s="7"/>
      <c r="H302" s="7"/>
      <c r="I302" s="5"/>
      <c r="J302" s="10" t="e">
        <f>'PLAN CAP'!#REF!</f>
        <v>#REF!</v>
      </c>
      <c r="K302" s="13">
        <f>IF(G304=" "," ",(_xlfn.DAYS(PlanTrabajo[[#This Row],[FECHA DE FIN]],PlanTrabajo[[#This Row],[FECHA DE INICIO]])))</f>
        <v>0</v>
      </c>
    </row>
    <row r="303" spans="5:11" hidden="1" x14ac:dyDescent="0.25">
      <c r="E303" s="5"/>
      <c r="F303" s="5"/>
      <c r="G303" s="7"/>
      <c r="H303" s="7"/>
      <c r="I303" s="5"/>
      <c r="J303" s="10" t="e">
        <f>'PLAN CAP'!#REF!</f>
        <v>#REF!</v>
      </c>
      <c r="K303" s="13">
        <f>IF(G305=" "," ",(_xlfn.DAYS(PlanTrabajo[[#This Row],[FECHA DE FIN]],PlanTrabajo[[#This Row],[FECHA DE INICIO]])))</f>
        <v>0</v>
      </c>
    </row>
    <row r="304" spans="5:11" hidden="1" x14ac:dyDescent="0.25">
      <c r="E304" s="5"/>
      <c r="F304" s="5"/>
      <c r="G304" s="7"/>
      <c r="H304" s="7"/>
      <c r="I304" s="5"/>
      <c r="J304" s="10" t="e">
        <f>'PLAN CAP'!#REF!</f>
        <v>#REF!</v>
      </c>
      <c r="K304" s="13">
        <f>IF(G306=" "," ",(_xlfn.DAYS(PlanTrabajo[[#This Row],[FECHA DE FIN]],PlanTrabajo[[#This Row],[FECHA DE INICIO]])))</f>
        <v>0</v>
      </c>
    </row>
    <row r="305" spans="5:11" hidden="1" x14ac:dyDescent="0.25">
      <c r="E305" s="5"/>
      <c r="F305" s="5"/>
      <c r="G305" s="7"/>
      <c r="H305" s="7"/>
      <c r="I305" s="5"/>
      <c r="J305" s="10" t="e">
        <f>'PLAN CAP'!#REF!</f>
        <v>#REF!</v>
      </c>
      <c r="K305" s="13">
        <f>IF(G307=" "," ",(_xlfn.DAYS(PlanTrabajo[[#This Row],[FECHA DE FIN]],PlanTrabajo[[#This Row],[FECHA DE INICIO]])))</f>
        <v>0</v>
      </c>
    </row>
    <row r="306" spans="5:11" hidden="1" x14ac:dyDescent="0.25">
      <c r="E306" s="5"/>
      <c r="F306" s="5"/>
      <c r="G306" s="7"/>
      <c r="H306" s="7"/>
      <c r="I306" s="5"/>
      <c r="J306" s="10" t="e">
        <f>'PLAN CAP'!#REF!</f>
        <v>#REF!</v>
      </c>
      <c r="K306" s="13">
        <f>IF(G308=" "," ",(_xlfn.DAYS(PlanTrabajo[[#This Row],[FECHA DE FIN]],PlanTrabajo[[#This Row],[FECHA DE INICIO]])))</f>
        <v>0</v>
      </c>
    </row>
    <row r="307" spans="5:11" hidden="1" x14ac:dyDescent="0.25">
      <c r="E307" s="5"/>
      <c r="F307" s="5"/>
      <c r="G307" s="7"/>
      <c r="H307" s="7"/>
      <c r="I307" s="5"/>
      <c r="J307" s="10" t="e">
        <f>'PLAN CAP'!#REF!</f>
        <v>#REF!</v>
      </c>
      <c r="K307" s="13">
        <f>IF(G309=" "," ",(_xlfn.DAYS(PlanTrabajo[[#This Row],[FECHA DE FIN]],PlanTrabajo[[#This Row],[FECHA DE INICIO]])))</f>
        <v>0</v>
      </c>
    </row>
    <row r="308" spans="5:11" hidden="1" x14ac:dyDescent="0.25">
      <c r="E308" s="5"/>
      <c r="F308" s="5"/>
      <c r="G308" s="7"/>
      <c r="H308" s="7"/>
      <c r="I308" s="5"/>
      <c r="J308" s="10" t="e">
        <f>'PLAN CAP'!#REF!</f>
        <v>#REF!</v>
      </c>
      <c r="K308" s="13">
        <f>IF(G310=" "," ",(_xlfn.DAYS(PlanTrabajo[[#This Row],[FECHA DE FIN]],PlanTrabajo[[#This Row],[FECHA DE INICIO]])))</f>
        <v>0</v>
      </c>
    </row>
    <row r="309" spans="5:11" hidden="1" x14ac:dyDescent="0.25">
      <c r="E309" s="5"/>
      <c r="F309" s="5"/>
      <c r="G309" s="7"/>
      <c r="H309" s="7"/>
      <c r="I309" s="5"/>
      <c r="J309" s="10" t="e">
        <f>'PLAN CAP'!#REF!</f>
        <v>#REF!</v>
      </c>
      <c r="K309" s="13">
        <f>IF(G311=" "," ",(_xlfn.DAYS(PlanTrabajo[[#This Row],[FECHA DE FIN]],PlanTrabajo[[#This Row],[FECHA DE INICIO]])))</f>
        <v>0</v>
      </c>
    </row>
    <row r="310" spans="5:11" hidden="1" x14ac:dyDescent="0.25">
      <c r="E310" s="5"/>
      <c r="F310" s="5"/>
      <c r="G310" s="7"/>
      <c r="H310" s="7"/>
      <c r="I310" s="5"/>
      <c r="J310" s="10" t="e">
        <f>'PLAN CAP'!#REF!</f>
        <v>#REF!</v>
      </c>
      <c r="K310" s="13">
        <f>IF(G312=" "," ",(_xlfn.DAYS(PlanTrabajo[[#This Row],[FECHA DE FIN]],PlanTrabajo[[#This Row],[FECHA DE INICIO]])))</f>
        <v>0</v>
      </c>
    </row>
    <row r="311" spans="5:11" hidden="1" x14ac:dyDescent="0.25">
      <c r="E311" s="5"/>
      <c r="F311" s="5"/>
      <c r="G311" s="7"/>
      <c r="H311" s="7"/>
      <c r="I311" s="5"/>
      <c r="J311" s="10" t="e">
        <f>'PLAN CAP'!#REF!</f>
        <v>#REF!</v>
      </c>
      <c r="K311" s="13">
        <f>IF(G313=" "," ",(_xlfn.DAYS(PlanTrabajo[[#This Row],[FECHA DE FIN]],PlanTrabajo[[#This Row],[FECHA DE INICIO]])))</f>
        <v>0</v>
      </c>
    </row>
    <row r="312" spans="5:11" hidden="1" x14ac:dyDescent="0.25">
      <c r="E312" s="5"/>
      <c r="F312" s="5"/>
      <c r="G312" s="7"/>
      <c r="H312" s="7"/>
      <c r="I312" s="5"/>
      <c r="J312" s="10" t="e">
        <f>'PLAN CAP'!#REF!</f>
        <v>#REF!</v>
      </c>
      <c r="K312" s="13">
        <f>IF(G314=" "," ",(_xlfn.DAYS(PlanTrabajo[[#This Row],[FECHA DE FIN]],PlanTrabajo[[#This Row],[FECHA DE INICIO]])))</f>
        <v>0</v>
      </c>
    </row>
    <row r="313" spans="5:11" hidden="1" x14ac:dyDescent="0.25">
      <c r="E313" s="5"/>
      <c r="F313" s="5"/>
      <c r="G313" s="7"/>
      <c r="H313" s="7"/>
      <c r="I313" s="5"/>
      <c r="J313" s="10" t="e">
        <f>'PLAN CAP'!#REF!</f>
        <v>#REF!</v>
      </c>
      <c r="K313" s="13">
        <f>IF(G315=" "," ",(_xlfn.DAYS(PlanTrabajo[[#This Row],[FECHA DE FIN]],PlanTrabajo[[#This Row],[FECHA DE INICIO]])))</f>
        <v>0</v>
      </c>
    </row>
    <row r="314" spans="5:11" hidden="1" x14ac:dyDescent="0.25">
      <c r="E314" s="5"/>
      <c r="F314" s="5"/>
      <c r="G314" s="7"/>
      <c r="H314" s="7"/>
      <c r="I314" s="5"/>
      <c r="J314" s="10" t="e">
        <f>'PLAN CAP'!#REF!</f>
        <v>#REF!</v>
      </c>
      <c r="K314" s="13">
        <f>IF(G316=" "," ",(_xlfn.DAYS(PlanTrabajo[[#This Row],[FECHA DE FIN]],PlanTrabajo[[#This Row],[FECHA DE INICIO]])))</f>
        <v>0</v>
      </c>
    </row>
    <row r="315" spans="5:11" hidden="1" x14ac:dyDescent="0.25">
      <c r="E315" s="5"/>
      <c r="F315" s="5"/>
      <c r="G315" s="7"/>
      <c r="H315" s="7"/>
      <c r="I315" s="5"/>
      <c r="J315" s="10" t="e">
        <f>'PLAN CAP'!#REF!</f>
        <v>#REF!</v>
      </c>
      <c r="K315" s="13">
        <f>IF(G317=" "," ",(_xlfn.DAYS(PlanTrabajo[[#This Row],[FECHA DE FIN]],PlanTrabajo[[#This Row],[FECHA DE INICIO]])))</f>
        <v>0</v>
      </c>
    </row>
    <row r="316" spans="5:11" hidden="1" x14ac:dyDescent="0.25">
      <c r="E316" s="5"/>
      <c r="F316" s="5"/>
      <c r="G316" s="7"/>
      <c r="H316" s="7"/>
      <c r="I316" s="5"/>
      <c r="J316" s="10" t="e">
        <f>'PLAN CAP'!#REF!</f>
        <v>#REF!</v>
      </c>
      <c r="K316" s="13">
        <f>IF(G318=" "," ",(_xlfn.DAYS(PlanTrabajo[[#This Row],[FECHA DE FIN]],PlanTrabajo[[#This Row],[FECHA DE INICIO]])))</f>
        <v>0</v>
      </c>
    </row>
    <row r="317" spans="5:11" hidden="1" x14ac:dyDescent="0.25">
      <c r="E317" s="5"/>
      <c r="F317" s="5"/>
      <c r="G317" s="7"/>
      <c r="H317" s="7"/>
      <c r="I317" s="5"/>
      <c r="J317" s="10" t="e">
        <f>'PLAN CAP'!#REF!</f>
        <v>#REF!</v>
      </c>
      <c r="K317" s="13">
        <f>IF(G319=" "," ",(_xlfn.DAYS(PlanTrabajo[[#This Row],[FECHA DE FIN]],PlanTrabajo[[#This Row],[FECHA DE INICIO]])))</f>
        <v>0</v>
      </c>
    </row>
    <row r="318" spans="5:11" hidden="1" x14ac:dyDescent="0.25">
      <c r="E318" s="5"/>
      <c r="F318" s="5"/>
      <c r="G318" s="7"/>
      <c r="H318" s="7"/>
      <c r="I318" s="5"/>
      <c r="J318" s="10" t="e">
        <f>'PLAN CAP'!#REF!</f>
        <v>#REF!</v>
      </c>
      <c r="K318" s="13">
        <f>IF(G320=" "," ",(_xlfn.DAYS(PlanTrabajo[[#This Row],[FECHA DE FIN]],PlanTrabajo[[#This Row],[FECHA DE INICIO]])))</f>
        <v>0</v>
      </c>
    </row>
    <row r="319" spans="5:11" hidden="1" x14ac:dyDescent="0.25">
      <c r="E319" s="5"/>
      <c r="F319" s="5"/>
      <c r="G319" s="7"/>
      <c r="H319" s="7"/>
      <c r="I319" s="5"/>
      <c r="J319" s="10" t="e">
        <f>'PLAN CAP'!#REF!</f>
        <v>#REF!</v>
      </c>
      <c r="K319" s="13">
        <f>IF(G321=" "," ",(_xlfn.DAYS(PlanTrabajo[[#This Row],[FECHA DE FIN]],PlanTrabajo[[#This Row],[FECHA DE INICIO]])))</f>
        <v>0</v>
      </c>
    </row>
    <row r="320" spans="5:11" hidden="1" x14ac:dyDescent="0.25">
      <c r="E320" s="5"/>
      <c r="F320" s="5"/>
      <c r="G320" s="7"/>
      <c r="H320" s="7"/>
      <c r="I320" s="5"/>
      <c r="J320" s="10" t="e">
        <f>'PLAN CAP'!#REF!</f>
        <v>#REF!</v>
      </c>
      <c r="K320" s="13">
        <f>IF(G322=" "," ",(_xlfn.DAYS(PlanTrabajo[[#This Row],[FECHA DE FIN]],PlanTrabajo[[#This Row],[FECHA DE INICIO]])))</f>
        <v>0</v>
      </c>
    </row>
    <row r="321" spans="5:11" hidden="1" x14ac:dyDescent="0.25">
      <c r="E321" s="5"/>
      <c r="F321" s="5"/>
      <c r="G321" s="7"/>
      <c r="H321" s="7"/>
      <c r="I321" s="5"/>
      <c r="J321" s="10" t="e">
        <f>'PLAN CAP'!#REF!</f>
        <v>#REF!</v>
      </c>
      <c r="K321" s="13">
        <f>IF(G323=" "," ",(_xlfn.DAYS(PlanTrabajo[[#This Row],[FECHA DE FIN]],PlanTrabajo[[#This Row],[FECHA DE INICIO]])))</f>
        <v>0</v>
      </c>
    </row>
    <row r="322" spans="5:11" hidden="1" x14ac:dyDescent="0.25">
      <c r="E322" s="5"/>
      <c r="F322" s="5"/>
      <c r="G322" s="7"/>
      <c r="H322" s="7"/>
      <c r="I322" s="5"/>
      <c r="J322" s="10" t="e">
        <f>'PLAN CAP'!#REF!</f>
        <v>#REF!</v>
      </c>
      <c r="K322" s="13">
        <f>IF(G324=" "," ",(_xlfn.DAYS(PlanTrabajo[[#This Row],[FECHA DE FIN]],PlanTrabajo[[#This Row],[FECHA DE INICIO]])))</f>
        <v>0</v>
      </c>
    </row>
    <row r="323" spans="5:11" hidden="1" x14ac:dyDescent="0.25">
      <c r="E323" s="5"/>
      <c r="F323" s="5"/>
      <c r="G323" s="7"/>
      <c r="H323" s="7"/>
      <c r="I323" s="5"/>
      <c r="J323" s="10" t="e">
        <f>'PLAN CAP'!#REF!</f>
        <v>#REF!</v>
      </c>
      <c r="K323" s="13">
        <f>IF(G325=" "," ",(_xlfn.DAYS(PlanTrabajo[[#This Row],[FECHA DE FIN]],PlanTrabajo[[#This Row],[FECHA DE INICIO]])))</f>
        <v>0</v>
      </c>
    </row>
    <row r="324" spans="5:11" hidden="1" x14ac:dyDescent="0.25">
      <c r="E324" s="5"/>
      <c r="F324" s="5"/>
      <c r="G324" s="7"/>
      <c r="H324" s="7"/>
      <c r="I324" s="5"/>
      <c r="J324" s="10" t="e">
        <f>'PLAN CAP'!#REF!</f>
        <v>#REF!</v>
      </c>
      <c r="K324" s="13">
        <f>IF(G326=" "," ",(_xlfn.DAYS(PlanTrabajo[[#This Row],[FECHA DE FIN]],PlanTrabajo[[#This Row],[FECHA DE INICIO]])))</f>
        <v>0</v>
      </c>
    </row>
    <row r="325" spans="5:11" hidden="1" x14ac:dyDescent="0.25">
      <c r="E325" s="5"/>
      <c r="F325" s="5"/>
      <c r="G325" s="7"/>
      <c r="H325" s="7"/>
      <c r="I325" s="5"/>
      <c r="J325" s="10" t="e">
        <f>'PLAN CAP'!#REF!</f>
        <v>#REF!</v>
      </c>
      <c r="K325" s="13">
        <f>IF(G327=" "," ",(_xlfn.DAYS(PlanTrabajo[[#This Row],[FECHA DE FIN]],PlanTrabajo[[#This Row],[FECHA DE INICIO]])))</f>
        <v>0</v>
      </c>
    </row>
    <row r="326" spans="5:11" hidden="1" x14ac:dyDescent="0.25">
      <c r="E326" s="5"/>
      <c r="F326" s="5"/>
      <c r="G326" s="7"/>
      <c r="H326" s="7"/>
      <c r="I326" s="5"/>
      <c r="J326" s="10" t="e">
        <f>'PLAN CAP'!#REF!</f>
        <v>#REF!</v>
      </c>
      <c r="K326" s="13">
        <f>IF(G328=" "," ",(_xlfn.DAYS(PlanTrabajo[[#This Row],[FECHA DE FIN]],PlanTrabajo[[#This Row],[FECHA DE INICIO]])))</f>
        <v>0</v>
      </c>
    </row>
    <row r="327" spans="5:11" hidden="1" x14ac:dyDescent="0.25">
      <c r="E327" s="5"/>
      <c r="F327" s="5"/>
      <c r="G327" s="7"/>
      <c r="H327" s="7"/>
      <c r="I327" s="5"/>
      <c r="J327" s="10" t="e">
        <f>'PLAN CAP'!#REF!</f>
        <v>#REF!</v>
      </c>
      <c r="K327" s="13">
        <f>IF(G329=" "," ",(_xlfn.DAYS(PlanTrabajo[[#This Row],[FECHA DE FIN]],PlanTrabajo[[#This Row],[FECHA DE INICIO]])))</f>
        <v>0</v>
      </c>
    </row>
    <row r="328" spans="5:11" hidden="1" x14ac:dyDescent="0.25">
      <c r="E328" s="5"/>
      <c r="F328" s="5"/>
      <c r="G328" s="7"/>
      <c r="H328" s="7"/>
      <c r="I328" s="5"/>
      <c r="J328" s="10" t="e">
        <f>'PLAN CAP'!#REF!</f>
        <v>#REF!</v>
      </c>
      <c r="K328" s="13">
        <f>IF(G330=" "," ",(_xlfn.DAYS(PlanTrabajo[[#This Row],[FECHA DE FIN]],PlanTrabajo[[#This Row],[FECHA DE INICIO]])))</f>
        <v>0</v>
      </c>
    </row>
    <row r="329" spans="5:11" hidden="1" x14ac:dyDescent="0.25">
      <c r="E329" s="5"/>
      <c r="F329" s="5"/>
      <c r="G329" s="7"/>
      <c r="H329" s="7"/>
      <c r="I329" s="5"/>
      <c r="J329" s="10" t="e">
        <f>'PLAN CAP'!#REF!</f>
        <v>#REF!</v>
      </c>
      <c r="K329" s="13">
        <f>IF(G331=" "," ",(_xlfn.DAYS(PlanTrabajo[[#This Row],[FECHA DE FIN]],PlanTrabajo[[#This Row],[FECHA DE INICIO]])))</f>
        <v>0</v>
      </c>
    </row>
    <row r="330" spans="5:11" hidden="1" x14ac:dyDescent="0.25">
      <c r="E330" s="5"/>
      <c r="F330" s="5"/>
      <c r="G330" s="7"/>
      <c r="H330" s="7"/>
      <c r="I330" s="5"/>
      <c r="J330" s="10" t="e">
        <f>'PLAN CAP'!#REF!</f>
        <v>#REF!</v>
      </c>
      <c r="K330" s="13">
        <f>IF(G332=" "," ",(_xlfn.DAYS(PlanTrabajo[[#This Row],[FECHA DE FIN]],PlanTrabajo[[#This Row],[FECHA DE INICIO]])))</f>
        <v>0</v>
      </c>
    </row>
    <row r="331" spans="5:11" hidden="1" x14ac:dyDescent="0.25">
      <c r="E331" s="5"/>
      <c r="F331" s="5"/>
      <c r="G331" s="7"/>
      <c r="H331" s="7"/>
      <c r="I331" s="5"/>
      <c r="J331" s="10" t="e">
        <f>'PLAN CAP'!#REF!</f>
        <v>#REF!</v>
      </c>
      <c r="K331" s="13">
        <f>IF(G333=" "," ",(_xlfn.DAYS(PlanTrabajo[[#This Row],[FECHA DE FIN]],PlanTrabajo[[#This Row],[FECHA DE INICIO]])))</f>
        <v>0</v>
      </c>
    </row>
    <row r="332" spans="5:11" hidden="1" x14ac:dyDescent="0.25">
      <c r="E332" s="5"/>
      <c r="F332" s="5"/>
      <c r="G332" s="7"/>
      <c r="H332" s="7"/>
      <c r="I332" s="5"/>
      <c r="J332" s="10" t="e">
        <f>'PLAN CAP'!#REF!</f>
        <v>#REF!</v>
      </c>
      <c r="K332" s="13">
        <f>IF(G334=" "," ",(_xlfn.DAYS(PlanTrabajo[[#This Row],[FECHA DE FIN]],PlanTrabajo[[#This Row],[FECHA DE INICIO]])))</f>
        <v>0</v>
      </c>
    </row>
    <row r="333" spans="5:11" hidden="1" x14ac:dyDescent="0.25">
      <c r="E333" s="5"/>
      <c r="F333" s="5"/>
      <c r="G333" s="7"/>
      <c r="H333" s="7"/>
      <c r="I333" s="5"/>
      <c r="J333" s="10" t="e">
        <f>'PLAN CAP'!#REF!</f>
        <v>#REF!</v>
      </c>
      <c r="K333" s="13">
        <f>IF(G335=" "," ",(_xlfn.DAYS(PlanTrabajo[[#This Row],[FECHA DE FIN]],PlanTrabajo[[#This Row],[FECHA DE INICIO]])))</f>
        <v>0</v>
      </c>
    </row>
    <row r="334" spans="5:11" hidden="1" x14ac:dyDescent="0.25">
      <c r="E334" s="5"/>
      <c r="F334" s="5"/>
      <c r="G334" s="7"/>
      <c r="H334" s="7"/>
      <c r="I334" s="5"/>
      <c r="J334" s="10" t="e">
        <f>'PLAN CAP'!#REF!</f>
        <v>#REF!</v>
      </c>
      <c r="K334" s="13">
        <f>IF(G336=" "," ",(_xlfn.DAYS(PlanTrabajo[[#This Row],[FECHA DE FIN]],PlanTrabajo[[#This Row],[FECHA DE INICIO]])))</f>
        <v>0</v>
      </c>
    </row>
    <row r="335" spans="5:11" hidden="1" x14ac:dyDescent="0.25">
      <c r="E335" s="5"/>
      <c r="F335" s="5"/>
      <c r="G335" s="7"/>
      <c r="H335" s="7"/>
      <c r="I335" s="5"/>
      <c r="J335" s="10" t="e">
        <f>'PLAN CAP'!#REF!</f>
        <v>#REF!</v>
      </c>
      <c r="K335" s="13">
        <f>IF(G337=" "," ",(_xlfn.DAYS(PlanTrabajo[[#This Row],[FECHA DE FIN]],PlanTrabajo[[#This Row],[FECHA DE INICIO]])))</f>
        <v>0</v>
      </c>
    </row>
    <row r="336" spans="5:11" hidden="1" x14ac:dyDescent="0.25">
      <c r="E336" s="5"/>
      <c r="F336" s="5"/>
      <c r="G336" s="7"/>
      <c r="H336" s="7"/>
      <c r="I336" s="5"/>
      <c r="J336" s="10" t="e">
        <f>'PLAN CAP'!#REF!</f>
        <v>#REF!</v>
      </c>
      <c r="K336" s="13">
        <f>IF(G338=" "," ",(_xlfn.DAYS(PlanTrabajo[[#This Row],[FECHA DE FIN]],PlanTrabajo[[#This Row],[FECHA DE INICIO]])))</f>
        <v>0</v>
      </c>
    </row>
    <row r="337" spans="5:11" hidden="1" x14ac:dyDescent="0.25">
      <c r="E337" s="5"/>
      <c r="F337" s="5"/>
      <c r="G337" s="7"/>
      <c r="H337" s="7"/>
      <c r="I337" s="5"/>
      <c r="J337" s="10" t="e">
        <f>'PLAN CAP'!#REF!</f>
        <v>#REF!</v>
      </c>
      <c r="K337" s="13">
        <f>IF(G339=" "," ",(_xlfn.DAYS(PlanTrabajo[[#This Row],[FECHA DE FIN]],PlanTrabajo[[#This Row],[FECHA DE INICIO]])))</f>
        <v>0</v>
      </c>
    </row>
    <row r="338" spans="5:11" hidden="1" x14ac:dyDescent="0.25">
      <c r="E338" s="5"/>
      <c r="F338" s="5"/>
      <c r="G338" s="7"/>
      <c r="H338" s="7"/>
      <c r="I338" s="5"/>
      <c r="J338" s="10" t="e">
        <f>'PLAN CAP'!#REF!</f>
        <v>#REF!</v>
      </c>
      <c r="K338" s="13">
        <f>IF(G340=" "," ",(_xlfn.DAYS(PlanTrabajo[[#This Row],[FECHA DE FIN]],PlanTrabajo[[#This Row],[FECHA DE INICIO]])))</f>
        <v>0</v>
      </c>
    </row>
    <row r="339" spans="5:11" hidden="1" x14ac:dyDescent="0.25">
      <c r="E339" s="5"/>
      <c r="F339" s="5"/>
      <c r="G339" s="7"/>
      <c r="H339" s="7"/>
      <c r="I339" s="5"/>
      <c r="J339" s="10" t="e">
        <f>'PLAN CAP'!#REF!</f>
        <v>#REF!</v>
      </c>
      <c r="K339" s="13">
        <f>IF(G341=" "," ",(_xlfn.DAYS(PlanTrabajo[[#This Row],[FECHA DE FIN]],PlanTrabajo[[#This Row],[FECHA DE INICIO]])))</f>
        <v>0</v>
      </c>
    </row>
    <row r="340" spans="5:11" hidden="1" x14ac:dyDescent="0.25">
      <c r="E340" s="5"/>
      <c r="F340" s="5"/>
      <c r="G340" s="7"/>
      <c r="H340" s="7"/>
      <c r="I340" s="5"/>
      <c r="J340" s="10" t="e">
        <f>'PLAN CAP'!#REF!</f>
        <v>#REF!</v>
      </c>
      <c r="K340" s="13">
        <f>IF(G342=" "," ",(_xlfn.DAYS(PlanTrabajo[[#This Row],[FECHA DE FIN]],PlanTrabajo[[#This Row],[FECHA DE INICIO]])))</f>
        <v>0</v>
      </c>
    </row>
    <row r="341" spans="5:11" hidden="1" x14ac:dyDescent="0.25">
      <c r="E341" s="5"/>
      <c r="F341" s="5"/>
      <c r="G341" s="7"/>
      <c r="H341" s="7"/>
      <c r="I341" s="5"/>
      <c r="J341" s="10" t="e">
        <f>'PLAN CAP'!#REF!</f>
        <v>#REF!</v>
      </c>
      <c r="K341" s="13">
        <f>IF(G343=" "," ",(_xlfn.DAYS(PlanTrabajo[[#This Row],[FECHA DE FIN]],PlanTrabajo[[#This Row],[FECHA DE INICIO]])))</f>
        <v>0</v>
      </c>
    </row>
    <row r="342" spans="5:11" hidden="1" x14ac:dyDescent="0.25">
      <c r="E342" s="5"/>
      <c r="F342" s="5"/>
      <c r="G342" s="7"/>
      <c r="H342" s="7"/>
      <c r="I342" s="5"/>
      <c r="J342" s="10" t="e">
        <f>'PLAN CAP'!#REF!</f>
        <v>#REF!</v>
      </c>
      <c r="K342" s="13">
        <f>IF(G344=" "," ",(_xlfn.DAYS(PlanTrabajo[[#This Row],[FECHA DE FIN]],PlanTrabajo[[#This Row],[FECHA DE INICIO]])))</f>
        <v>0</v>
      </c>
    </row>
    <row r="343" spans="5:11" hidden="1" x14ac:dyDescent="0.25">
      <c r="E343" s="5"/>
      <c r="F343" s="5"/>
      <c r="G343" s="7"/>
      <c r="H343" s="7"/>
      <c r="I343" s="5"/>
      <c r="J343" s="10" t="e">
        <f>'PLAN CAP'!#REF!</f>
        <v>#REF!</v>
      </c>
      <c r="K343" s="13">
        <f>IF(G345=" "," ",(_xlfn.DAYS(PlanTrabajo[[#This Row],[FECHA DE FIN]],PlanTrabajo[[#This Row],[FECHA DE INICIO]])))</f>
        <v>0</v>
      </c>
    </row>
    <row r="344" spans="5:11" hidden="1" x14ac:dyDescent="0.25">
      <c r="E344" s="5"/>
      <c r="F344" s="5"/>
      <c r="G344" s="7"/>
      <c r="H344" s="7"/>
      <c r="I344" s="5"/>
      <c r="J344" s="10" t="e">
        <f>'PLAN CAP'!#REF!</f>
        <v>#REF!</v>
      </c>
      <c r="K344" s="13">
        <f>IF(G346=" "," ",(_xlfn.DAYS(PlanTrabajo[[#This Row],[FECHA DE FIN]],PlanTrabajo[[#This Row],[FECHA DE INICIO]])))</f>
        <v>0</v>
      </c>
    </row>
    <row r="345" spans="5:11" hidden="1" x14ac:dyDescent="0.25">
      <c r="E345" s="5"/>
      <c r="F345" s="5"/>
      <c r="G345" s="7"/>
      <c r="H345" s="7"/>
      <c r="I345" s="5"/>
      <c r="J345" s="10" t="e">
        <f>'PLAN CAP'!#REF!</f>
        <v>#REF!</v>
      </c>
      <c r="K345" s="13">
        <f>IF(G347=" "," ",(_xlfn.DAYS(PlanTrabajo[[#This Row],[FECHA DE FIN]],PlanTrabajo[[#This Row],[FECHA DE INICIO]])))</f>
        <v>0</v>
      </c>
    </row>
    <row r="346" spans="5:11" hidden="1" x14ac:dyDescent="0.25">
      <c r="E346" s="5"/>
      <c r="F346" s="5"/>
      <c r="G346" s="7"/>
      <c r="H346" s="7"/>
      <c r="I346" s="5"/>
      <c r="J346" s="10" t="e">
        <f>'PLAN CAP'!#REF!</f>
        <v>#REF!</v>
      </c>
      <c r="K346" s="13">
        <f>IF(G348=" "," ",(_xlfn.DAYS(PlanTrabajo[[#This Row],[FECHA DE FIN]],PlanTrabajo[[#This Row],[FECHA DE INICIO]])))</f>
        <v>0</v>
      </c>
    </row>
    <row r="347" spans="5:11" hidden="1" x14ac:dyDescent="0.25">
      <c r="E347" s="5"/>
      <c r="F347" s="5"/>
      <c r="G347" s="7"/>
      <c r="H347" s="7"/>
      <c r="I347" s="5"/>
      <c r="J347" s="10" t="e">
        <f>'PLAN CAP'!#REF!</f>
        <v>#REF!</v>
      </c>
      <c r="K347" s="13">
        <f>IF(G349=" "," ",(_xlfn.DAYS(PlanTrabajo[[#This Row],[FECHA DE FIN]],PlanTrabajo[[#This Row],[FECHA DE INICIO]])))</f>
        <v>0</v>
      </c>
    </row>
    <row r="348" spans="5:11" hidden="1" x14ac:dyDescent="0.25">
      <c r="E348" s="5"/>
      <c r="F348" s="5"/>
      <c r="G348" s="7"/>
      <c r="H348" s="7"/>
      <c r="I348" s="5"/>
      <c r="J348" s="10" t="e">
        <f>'PLAN CAP'!#REF!</f>
        <v>#REF!</v>
      </c>
      <c r="K348" s="13">
        <f>IF(G350=" "," ",(_xlfn.DAYS(PlanTrabajo[[#This Row],[FECHA DE FIN]],PlanTrabajo[[#This Row],[FECHA DE INICIO]])))</f>
        <v>0</v>
      </c>
    </row>
    <row r="349" spans="5:11" hidden="1" x14ac:dyDescent="0.25">
      <c r="E349" s="5"/>
      <c r="F349" s="5"/>
      <c r="G349" s="7"/>
      <c r="H349" s="7"/>
      <c r="I349" s="5"/>
      <c r="J349" s="10" t="e">
        <f>'PLAN CAP'!#REF!</f>
        <v>#REF!</v>
      </c>
      <c r="K349" s="13">
        <f>IF(G351=" "," ",(_xlfn.DAYS(PlanTrabajo[[#This Row],[FECHA DE FIN]],PlanTrabajo[[#This Row],[FECHA DE INICIO]])))</f>
        <v>0</v>
      </c>
    </row>
    <row r="350" spans="5:11" hidden="1" x14ac:dyDescent="0.25">
      <c r="E350" s="5"/>
      <c r="F350" s="5"/>
      <c r="G350" s="7"/>
      <c r="H350" s="7"/>
      <c r="I350" s="5"/>
      <c r="J350" s="10" t="e">
        <f>'PLAN CAP'!#REF!</f>
        <v>#REF!</v>
      </c>
      <c r="K350" s="13">
        <f>IF(G352=" "," ",(_xlfn.DAYS(PlanTrabajo[[#This Row],[FECHA DE FIN]],PlanTrabajo[[#This Row],[FECHA DE INICIO]])))</f>
        <v>0</v>
      </c>
    </row>
    <row r="351" spans="5:11" hidden="1" x14ac:dyDescent="0.25">
      <c r="E351" s="5"/>
      <c r="F351" s="5"/>
      <c r="G351" s="7"/>
      <c r="H351" s="7"/>
      <c r="I351" s="5"/>
      <c r="J351" s="10" t="e">
        <f>'PLAN CAP'!#REF!</f>
        <v>#REF!</v>
      </c>
      <c r="K351" s="13">
        <f>IF(G353=" "," ",(_xlfn.DAYS(PlanTrabajo[[#This Row],[FECHA DE FIN]],PlanTrabajo[[#This Row],[FECHA DE INICIO]])))</f>
        <v>0</v>
      </c>
    </row>
    <row r="352" spans="5:11" hidden="1" x14ac:dyDescent="0.25">
      <c r="E352" s="5"/>
      <c r="F352" s="5"/>
      <c r="G352" s="7"/>
      <c r="H352" s="7"/>
      <c r="I352" s="5"/>
      <c r="J352" s="10" t="e">
        <f>'PLAN CAP'!#REF!</f>
        <v>#REF!</v>
      </c>
      <c r="K352" s="13">
        <f>IF(G354=" "," ",(_xlfn.DAYS(PlanTrabajo[[#This Row],[FECHA DE FIN]],PlanTrabajo[[#This Row],[FECHA DE INICIO]])))</f>
        <v>0</v>
      </c>
    </row>
    <row r="353" spans="5:11" hidden="1" x14ac:dyDescent="0.25">
      <c r="E353" s="5"/>
      <c r="F353" s="5"/>
      <c r="G353" s="7"/>
      <c r="H353" s="7"/>
      <c r="I353" s="5"/>
      <c r="J353" s="10" t="e">
        <f>'PLAN CAP'!#REF!</f>
        <v>#REF!</v>
      </c>
      <c r="K353" s="13">
        <f>IF(G355=" "," ",(_xlfn.DAYS(PlanTrabajo[[#This Row],[FECHA DE FIN]],PlanTrabajo[[#This Row],[FECHA DE INICIO]])))</f>
        <v>0</v>
      </c>
    </row>
    <row r="354" spans="5:11" hidden="1" x14ac:dyDescent="0.25">
      <c r="E354" s="5"/>
      <c r="F354" s="5"/>
      <c r="G354" s="7"/>
      <c r="H354" s="7"/>
      <c r="I354" s="5"/>
      <c r="J354" s="10" t="e">
        <f>'PLAN CAP'!#REF!</f>
        <v>#REF!</v>
      </c>
      <c r="K354" s="13">
        <f>IF(G356=" "," ",(_xlfn.DAYS(PlanTrabajo[[#This Row],[FECHA DE FIN]],PlanTrabajo[[#This Row],[FECHA DE INICIO]])))</f>
        <v>0</v>
      </c>
    </row>
    <row r="355" spans="5:11" hidden="1" x14ac:dyDescent="0.25">
      <c r="E355" s="5"/>
      <c r="F355" s="5"/>
      <c r="G355" s="7"/>
      <c r="H355" s="7"/>
      <c r="I355" s="5"/>
      <c r="J355" s="10" t="e">
        <f>'PLAN CAP'!#REF!</f>
        <v>#REF!</v>
      </c>
      <c r="K355" s="13">
        <f>IF(G357=" "," ",(_xlfn.DAYS(PlanTrabajo[[#This Row],[FECHA DE FIN]],PlanTrabajo[[#This Row],[FECHA DE INICIO]])))</f>
        <v>0</v>
      </c>
    </row>
    <row r="356" spans="5:11" hidden="1" x14ac:dyDescent="0.25">
      <c r="E356" s="5"/>
      <c r="F356" s="5"/>
      <c r="G356" s="7"/>
      <c r="H356" s="7"/>
      <c r="I356" s="5"/>
      <c r="J356" s="10" t="e">
        <f>'PLAN CAP'!#REF!</f>
        <v>#REF!</v>
      </c>
      <c r="K356" s="13">
        <f>IF(G358=" "," ",(_xlfn.DAYS(PlanTrabajo[[#This Row],[FECHA DE FIN]],PlanTrabajo[[#This Row],[FECHA DE INICIO]])))</f>
        <v>0</v>
      </c>
    </row>
    <row r="357" spans="5:11" hidden="1" x14ac:dyDescent="0.25">
      <c r="E357" s="5"/>
      <c r="F357" s="5"/>
      <c r="G357" s="7"/>
      <c r="H357" s="7"/>
      <c r="I357" s="5"/>
      <c r="J357" s="10" t="e">
        <f>'PLAN CAP'!#REF!</f>
        <v>#REF!</v>
      </c>
      <c r="K357" s="13">
        <f>IF(G359=" "," ",(_xlfn.DAYS(PlanTrabajo[[#This Row],[FECHA DE FIN]],PlanTrabajo[[#This Row],[FECHA DE INICIO]])))</f>
        <v>0</v>
      </c>
    </row>
    <row r="358" spans="5:11" hidden="1" x14ac:dyDescent="0.25">
      <c r="E358" s="5"/>
      <c r="F358" s="5"/>
      <c r="G358" s="7"/>
      <c r="H358" s="7"/>
      <c r="I358" s="5"/>
      <c r="J358" s="10" t="e">
        <f>'PLAN CAP'!#REF!</f>
        <v>#REF!</v>
      </c>
      <c r="K358" s="13">
        <f>IF(G360=" "," ",(_xlfn.DAYS(PlanTrabajo[[#This Row],[FECHA DE FIN]],PlanTrabajo[[#This Row],[FECHA DE INICIO]])))</f>
        <v>0</v>
      </c>
    </row>
    <row r="359" spans="5:11" hidden="1" x14ac:dyDescent="0.25">
      <c r="E359" s="5"/>
      <c r="F359" s="5"/>
      <c r="G359" s="7"/>
      <c r="H359" s="7"/>
      <c r="I359" s="5"/>
      <c r="J359" s="10" t="e">
        <f>'PLAN CAP'!#REF!</f>
        <v>#REF!</v>
      </c>
      <c r="K359" s="13">
        <f>IF(G361=" "," ",(_xlfn.DAYS(PlanTrabajo[[#This Row],[FECHA DE FIN]],PlanTrabajo[[#This Row],[FECHA DE INICIO]])))</f>
        <v>0</v>
      </c>
    </row>
    <row r="360" spans="5:11" hidden="1" x14ac:dyDescent="0.25">
      <c r="E360" s="5"/>
      <c r="F360" s="5"/>
      <c r="G360" s="7"/>
      <c r="H360" s="7"/>
      <c r="I360" s="5"/>
      <c r="J360" s="10" t="e">
        <f>'PLAN CAP'!#REF!</f>
        <v>#REF!</v>
      </c>
      <c r="K360" s="13">
        <f>IF(G362=" "," ",(_xlfn.DAYS(PlanTrabajo[[#This Row],[FECHA DE FIN]],PlanTrabajo[[#This Row],[FECHA DE INICIO]])))</f>
        <v>0</v>
      </c>
    </row>
    <row r="361" spans="5:11" hidden="1" x14ac:dyDescent="0.25">
      <c r="E361" s="5"/>
      <c r="F361" s="5"/>
      <c r="G361" s="7"/>
      <c r="H361" s="7"/>
      <c r="I361" s="5"/>
      <c r="J361" s="10" t="e">
        <f>'PLAN CAP'!#REF!</f>
        <v>#REF!</v>
      </c>
      <c r="K361" s="13">
        <f>IF(G363=" "," ",(_xlfn.DAYS(PlanTrabajo[[#This Row],[FECHA DE FIN]],PlanTrabajo[[#This Row],[FECHA DE INICIO]])))</f>
        <v>0</v>
      </c>
    </row>
    <row r="362" spans="5:11" hidden="1" x14ac:dyDescent="0.25">
      <c r="E362" s="5"/>
      <c r="F362" s="5"/>
      <c r="G362" s="7"/>
      <c r="H362" s="7"/>
      <c r="I362" s="5"/>
      <c r="J362" s="10" t="e">
        <f>'PLAN CAP'!#REF!</f>
        <v>#REF!</v>
      </c>
      <c r="K362" s="13">
        <f>IF(G364=" "," ",(_xlfn.DAYS(PlanTrabajo[[#This Row],[FECHA DE FIN]],PlanTrabajo[[#This Row],[FECHA DE INICIO]])))</f>
        <v>0</v>
      </c>
    </row>
    <row r="363" spans="5:11" hidden="1" x14ac:dyDescent="0.25">
      <c r="E363" s="5"/>
      <c r="F363" s="5"/>
      <c r="G363" s="7"/>
      <c r="H363" s="7"/>
      <c r="I363" s="5"/>
      <c r="J363" s="10" t="e">
        <f>'PLAN CAP'!#REF!</f>
        <v>#REF!</v>
      </c>
      <c r="K363" s="13">
        <f>IF(G365=" "," ",(_xlfn.DAYS(PlanTrabajo[[#This Row],[FECHA DE FIN]],PlanTrabajo[[#This Row],[FECHA DE INICIO]])))</f>
        <v>0</v>
      </c>
    </row>
    <row r="364" spans="5:11" hidden="1" x14ac:dyDescent="0.25">
      <c r="E364" s="5"/>
      <c r="F364" s="5"/>
      <c r="G364" s="7"/>
      <c r="H364" s="7"/>
      <c r="I364" s="5"/>
      <c r="J364" s="10" t="e">
        <f>'PLAN CAP'!#REF!</f>
        <v>#REF!</v>
      </c>
      <c r="K364" s="13">
        <f>IF(G366=" "," ",(_xlfn.DAYS(PlanTrabajo[[#This Row],[FECHA DE FIN]],PlanTrabajo[[#This Row],[FECHA DE INICIO]])))</f>
        <v>0</v>
      </c>
    </row>
    <row r="365" spans="5:11" hidden="1" x14ac:dyDescent="0.25">
      <c r="E365" s="5"/>
      <c r="F365" s="5"/>
      <c r="G365" s="7"/>
      <c r="H365" s="7"/>
      <c r="I365" s="5"/>
      <c r="J365" s="10" t="e">
        <f>'PLAN CAP'!#REF!</f>
        <v>#REF!</v>
      </c>
      <c r="K365" s="13">
        <f>IF(G367=" "," ",(_xlfn.DAYS(PlanTrabajo[[#This Row],[FECHA DE FIN]],PlanTrabajo[[#This Row],[FECHA DE INICIO]])))</f>
        <v>0</v>
      </c>
    </row>
    <row r="366" spans="5:11" hidden="1" x14ac:dyDescent="0.25">
      <c r="E366" s="5"/>
      <c r="F366" s="5"/>
      <c r="G366" s="7"/>
      <c r="H366" s="7"/>
      <c r="I366" s="5"/>
      <c r="J366" s="10" t="e">
        <f>'PLAN CAP'!#REF!</f>
        <v>#REF!</v>
      </c>
      <c r="K366" s="13">
        <f>IF(G368=" "," ",(_xlfn.DAYS(PlanTrabajo[[#This Row],[FECHA DE FIN]],PlanTrabajo[[#This Row],[FECHA DE INICIO]])))</f>
        <v>0</v>
      </c>
    </row>
    <row r="367" spans="5:11" hidden="1" x14ac:dyDescent="0.25">
      <c r="E367" s="5"/>
      <c r="F367" s="5"/>
      <c r="G367" s="7"/>
      <c r="H367" s="7"/>
      <c r="I367" s="5"/>
      <c r="J367" s="10" t="e">
        <f>'PLAN CAP'!#REF!</f>
        <v>#REF!</v>
      </c>
      <c r="K367" s="13">
        <f>IF(G369=" "," ",(_xlfn.DAYS(PlanTrabajo[[#This Row],[FECHA DE FIN]],PlanTrabajo[[#This Row],[FECHA DE INICIO]])))</f>
        <v>0</v>
      </c>
    </row>
    <row r="368" spans="5:11" hidden="1" x14ac:dyDescent="0.25">
      <c r="E368" s="5"/>
      <c r="F368" s="5"/>
      <c r="G368" s="7"/>
      <c r="H368" s="7"/>
      <c r="I368" s="5"/>
      <c r="J368" s="10" t="e">
        <f>'PLAN CAP'!#REF!</f>
        <v>#REF!</v>
      </c>
      <c r="K368" s="13">
        <f>IF(G370=" "," ",(_xlfn.DAYS(PlanTrabajo[[#This Row],[FECHA DE FIN]],PlanTrabajo[[#This Row],[FECHA DE INICIO]])))</f>
        <v>0</v>
      </c>
    </row>
    <row r="369" spans="5:11" hidden="1" x14ac:dyDescent="0.25">
      <c r="E369" s="5"/>
      <c r="F369" s="5"/>
      <c r="G369" s="7"/>
      <c r="H369" s="7"/>
      <c r="I369" s="5"/>
      <c r="J369" s="10" t="e">
        <f>'PLAN CAP'!#REF!</f>
        <v>#REF!</v>
      </c>
      <c r="K369" s="13">
        <f>IF(G371=" "," ",(_xlfn.DAYS(PlanTrabajo[[#This Row],[FECHA DE FIN]],PlanTrabajo[[#This Row],[FECHA DE INICIO]])))</f>
        <v>0</v>
      </c>
    </row>
    <row r="370" spans="5:11" hidden="1" x14ac:dyDescent="0.25">
      <c r="E370" s="5"/>
      <c r="F370" s="5"/>
      <c r="G370" s="7"/>
      <c r="H370" s="7"/>
      <c r="I370" s="5"/>
      <c r="J370" s="10" t="e">
        <f>'PLAN CAP'!#REF!</f>
        <v>#REF!</v>
      </c>
      <c r="K370" s="13">
        <f>IF(G372=" "," ",(_xlfn.DAYS(PlanTrabajo[[#This Row],[FECHA DE FIN]],PlanTrabajo[[#This Row],[FECHA DE INICIO]])))</f>
        <v>0</v>
      </c>
    </row>
    <row r="371" spans="5:11" hidden="1" x14ac:dyDescent="0.25">
      <c r="E371" s="5"/>
      <c r="F371" s="5"/>
      <c r="G371" s="7"/>
      <c r="H371" s="7"/>
      <c r="I371" s="5"/>
      <c r="J371" s="10" t="e">
        <f>'PLAN CAP'!#REF!</f>
        <v>#REF!</v>
      </c>
      <c r="K371" s="13">
        <f>IF(G373=" "," ",(_xlfn.DAYS(PlanTrabajo[[#This Row],[FECHA DE FIN]],PlanTrabajo[[#This Row],[FECHA DE INICIO]])))</f>
        <v>0</v>
      </c>
    </row>
    <row r="372" spans="5:11" hidden="1" x14ac:dyDescent="0.25">
      <c r="E372" s="5"/>
      <c r="F372" s="5"/>
      <c r="G372" s="7"/>
      <c r="H372" s="7"/>
      <c r="I372" s="5"/>
      <c r="J372" s="10" t="e">
        <f>'PLAN CAP'!#REF!</f>
        <v>#REF!</v>
      </c>
      <c r="K372" s="13">
        <f>IF(G374=" "," ",(_xlfn.DAYS(PlanTrabajo[[#This Row],[FECHA DE FIN]],PlanTrabajo[[#This Row],[FECHA DE INICIO]])))</f>
        <v>0</v>
      </c>
    </row>
    <row r="373" spans="5:11" hidden="1" x14ac:dyDescent="0.25">
      <c r="E373" s="5"/>
      <c r="F373" s="5"/>
      <c r="G373" s="7"/>
      <c r="H373" s="7"/>
      <c r="I373" s="5"/>
      <c r="J373" s="10" t="e">
        <f>'PLAN CAP'!#REF!</f>
        <v>#REF!</v>
      </c>
      <c r="K373" s="13">
        <f>IF(G375=" "," ",(_xlfn.DAYS(PlanTrabajo[[#This Row],[FECHA DE FIN]],PlanTrabajo[[#This Row],[FECHA DE INICIO]])))</f>
        <v>0</v>
      </c>
    </row>
    <row r="374" spans="5:11" hidden="1" x14ac:dyDescent="0.25">
      <c r="E374" s="5"/>
      <c r="F374" s="5"/>
      <c r="G374" s="7"/>
      <c r="H374" s="7"/>
      <c r="I374" s="5"/>
      <c r="J374" s="10" t="e">
        <f>'PLAN CAP'!#REF!</f>
        <v>#REF!</v>
      </c>
      <c r="K374" s="13">
        <f>IF(G376=" "," ",(_xlfn.DAYS(PlanTrabajo[[#This Row],[FECHA DE FIN]],PlanTrabajo[[#This Row],[FECHA DE INICIO]])))</f>
        <v>0</v>
      </c>
    </row>
    <row r="375" spans="5:11" hidden="1" x14ac:dyDescent="0.25">
      <c r="E375" s="5"/>
      <c r="F375" s="5"/>
      <c r="G375" s="7"/>
      <c r="H375" s="7"/>
      <c r="I375" s="5"/>
      <c r="J375" s="10" t="e">
        <f>'PLAN CAP'!#REF!</f>
        <v>#REF!</v>
      </c>
      <c r="K375" s="13">
        <f>IF(G377=" "," ",(_xlfn.DAYS(PlanTrabajo[[#This Row],[FECHA DE FIN]],PlanTrabajo[[#This Row],[FECHA DE INICIO]])))</f>
        <v>0</v>
      </c>
    </row>
    <row r="376" spans="5:11" hidden="1" x14ac:dyDescent="0.25">
      <c r="E376" s="5"/>
      <c r="F376" s="5"/>
      <c r="G376" s="7"/>
      <c r="H376" s="7"/>
      <c r="I376" s="5"/>
      <c r="J376" s="10" t="e">
        <f>'PLAN CAP'!#REF!</f>
        <v>#REF!</v>
      </c>
      <c r="K376" s="13">
        <f>IF(G378=" "," ",(_xlfn.DAYS(PlanTrabajo[[#This Row],[FECHA DE FIN]],PlanTrabajo[[#This Row],[FECHA DE INICIO]])))</f>
        <v>0</v>
      </c>
    </row>
    <row r="377" spans="5:11" hidden="1" x14ac:dyDescent="0.25">
      <c r="E377" s="5"/>
      <c r="F377" s="5"/>
      <c r="G377" s="7"/>
      <c r="H377" s="7"/>
      <c r="I377" s="5"/>
      <c r="J377" s="10" t="e">
        <f>'PLAN CAP'!#REF!</f>
        <v>#REF!</v>
      </c>
      <c r="K377" s="13">
        <f>IF(G379=" "," ",(_xlfn.DAYS(PlanTrabajo[[#This Row],[FECHA DE FIN]],PlanTrabajo[[#This Row],[FECHA DE INICIO]])))</f>
        <v>0</v>
      </c>
    </row>
    <row r="378" spans="5:11" hidden="1" x14ac:dyDescent="0.25">
      <c r="E378" s="5"/>
      <c r="F378" s="5"/>
      <c r="G378" s="7"/>
      <c r="H378" s="7"/>
      <c r="I378" s="5"/>
      <c r="J378" s="10" t="e">
        <f>'PLAN CAP'!#REF!</f>
        <v>#REF!</v>
      </c>
      <c r="K378" s="13">
        <f>IF(G380=" "," ",(_xlfn.DAYS(PlanTrabajo[[#This Row],[FECHA DE FIN]],PlanTrabajo[[#This Row],[FECHA DE INICIO]])))</f>
        <v>0</v>
      </c>
    </row>
    <row r="379" spans="5:11" hidden="1" x14ac:dyDescent="0.25">
      <c r="E379" s="5"/>
      <c r="F379" s="5"/>
      <c r="G379" s="7"/>
      <c r="H379" s="7"/>
      <c r="I379" s="5"/>
      <c r="J379" s="10" t="e">
        <f>'PLAN CAP'!#REF!</f>
        <v>#REF!</v>
      </c>
      <c r="K379" s="13">
        <f>IF(G381=" "," ",(_xlfn.DAYS(PlanTrabajo[[#This Row],[FECHA DE FIN]],PlanTrabajo[[#This Row],[FECHA DE INICIO]])))</f>
        <v>0</v>
      </c>
    </row>
    <row r="380" spans="5:11" hidden="1" x14ac:dyDescent="0.25">
      <c r="E380" s="5"/>
      <c r="F380" s="5"/>
      <c r="G380" s="7"/>
      <c r="H380" s="7"/>
      <c r="I380" s="5"/>
      <c r="J380" s="10" t="e">
        <f>'PLAN CAP'!#REF!</f>
        <v>#REF!</v>
      </c>
      <c r="K380" s="13">
        <f>IF(G382=" "," ",(_xlfn.DAYS(PlanTrabajo[[#This Row],[FECHA DE FIN]],PlanTrabajo[[#This Row],[FECHA DE INICIO]])))</f>
        <v>0</v>
      </c>
    </row>
    <row r="381" spans="5:11" hidden="1" x14ac:dyDescent="0.25">
      <c r="E381" s="5"/>
      <c r="F381" s="5"/>
      <c r="G381" s="7"/>
      <c r="H381" s="7"/>
      <c r="I381" s="5"/>
      <c r="J381" s="10" t="e">
        <f>'PLAN CAP'!#REF!</f>
        <v>#REF!</v>
      </c>
      <c r="K381" s="13">
        <f>IF(G383=" "," ",(_xlfn.DAYS(PlanTrabajo[[#This Row],[FECHA DE FIN]],PlanTrabajo[[#This Row],[FECHA DE INICIO]])))</f>
        <v>0</v>
      </c>
    </row>
    <row r="382" spans="5:11" hidden="1" x14ac:dyDescent="0.25">
      <c r="E382" s="5"/>
      <c r="F382" s="5"/>
      <c r="G382" s="7"/>
      <c r="H382" s="7"/>
      <c r="I382" s="5"/>
      <c r="J382" s="10" t="e">
        <f>'PLAN CAP'!#REF!</f>
        <v>#REF!</v>
      </c>
      <c r="K382" s="13">
        <f>IF(G384=" "," ",(_xlfn.DAYS(PlanTrabajo[[#This Row],[FECHA DE FIN]],PlanTrabajo[[#This Row],[FECHA DE INICIO]])))</f>
        <v>0</v>
      </c>
    </row>
    <row r="383" spans="5:11" hidden="1" x14ac:dyDescent="0.25">
      <c r="E383" s="5"/>
      <c r="F383" s="5"/>
      <c r="G383" s="7"/>
      <c r="H383" s="7"/>
      <c r="I383" s="5"/>
      <c r="J383" s="10" t="e">
        <f>'PLAN CAP'!#REF!</f>
        <v>#REF!</v>
      </c>
      <c r="K383" s="13">
        <f>IF(G385=" "," ",(_xlfn.DAYS(PlanTrabajo[[#This Row],[FECHA DE FIN]],PlanTrabajo[[#This Row],[FECHA DE INICIO]])))</f>
        <v>0</v>
      </c>
    </row>
    <row r="384" spans="5:11" hidden="1" x14ac:dyDescent="0.25">
      <c r="E384" s="5"/>
      <c r="F384" s="5"/>
      <c r="G384" s="7"/>
      <c r="H384" s="7"/>
      <c r="I384" s="5"/>
      <c r="J384" s="10" t="e">
        <f>'PLAN CAP'!#REF!</f>
        <v>#REF!</v>
      </c>
      <c r="K384" s="13">
        <f>IF(G386=" "," ",(_xlfn.DAYS(PlanTrabajo[[#This Row],[FECHA DE FIN]],PlanTrabajo[[#This Row],[FECHA DE INICIO]])))</f>
        <v>0</v>
      </c>
    </row>
    <row r="385" spans="5:11" hidden="1" x14ac:dyDescent="0.25">
      <c r="E385" s="5"/>
      <c r="F385" s="5"/>
      <c r="G385" s="7"/>
      <c r="H385" s="7"/>
      <c r="I385" s="5"/>
      <c r="J385" s="10" t="e">
        <f>'PLAN CAP'!#REF!</f>
        <v>#REF!</v>
      </c>
      <c r="K385" s="13">
        <f>IF(G387=" "," ",(_xlfn.DAYS(PlanTrabajo[[#This Row],[FECHA DE FIN]],PlanTrabajo[[#This Row],[FECHA DE INICIO]])))</f>
        <v>0</v>
      </c>
    </row>
    <row r="386" spans="5:11" hidden="1" x14ac:dyDescent="0.25">
      <c r="E386" s="5"/>
      <c r="F386" s="5"/>
      <c r="G386" s="7"/>
      <c r="H386" s="7"/>
      <c r="I386" s="5"/>
      <c r="J386" s="10" t="e">
        <f>'PLAN CAP'!#REF!</f>
        <v>#REF!</v>
      </c>
      <c r="K386" s="13">
        <f>IF(G388=" "," ",(_xlfn.DAYS(PlanTrabajo[[#This Row],[FECHA DE FIN]],PlanTrabajo[[#This Row],[FECHA DE INICIO]])))</f>
        <v>0</v>
      </c>
    </row>
    <row r="387" spans="5:11" hidden="1" x14ac:dyDescent="0.25">
      <c r="E387" s="5"/>
      <c r="F387" s="5"/>
      <c r="G387" s="7"/>
      <c r="H387" s="7"/>
      <c r="I387" s="5"/>
      <c r="J387" s="10" t="e">
        <f>'PLAN CAP'!#REF!</f>
        <v>#REF!</v>
      </c>
      <c r="K387" s="13">
        <f>IF(G389=" "," ",(_xlfn.DAYS(PlanTrabajo[[#This Row],[FECHA DE FIN]],PlanTrabajo[[#This Row],[FECHA DE INICIO]])))</f>
        <v>0</v>
      </c>
    </row>
    <row r="388" spans="5:11" hidden="1" x14ac:dyDescent="0.25">
      <c r="E388" s="5"/>
      <c r="F388" s="5"/>
      <c r="G388" s="7"/>
      <c r="H388" s="7"/>
      <c r="I388" s="5"/>
      <c r="J388" s="10" t="e">
        <f>'PLAN CAP'!#REF!</f>
        <v>#REF!</v>
      </c>
      <c r="K388" s="13">
        <f>IF(G390=" "," ",(_xlfn.DAYS(PlanTrabajo[[#This Row],[FECHA DE FIN]],PlanTrabajo[[#This Row],[FECHA DE INICIO]])))</f>
        <v>0</v>
      </c>
    </row>
    <row r="389" spans="5:11" hidden="1" x14ac:dyDescent="0.25">
      <c r="E389" s="5"/>
      <c r="F389" s="5"/>
      <c r="G389" s="7"/>
      <c r="H389" s="7"/>
      <c r="I389" s="5"/>
      <c r="J389" s="10" t="e">
        <f>'PLAN CAP'!#REF!</f>
        <v>#REF!</v>
      </c>
      <c r="K389" s="13">
        <f>IF(G391=" "," ",(_xlfn.DAYS(PlanTrabajo[[#This Row],[FECHA DE FIN]],PlanTrabajo[[#This Row],[FECHA DE INICIO]])))</f>
        <v>0</v>
      </c>
    </row>
    <row r="390" spans="5:11" hidden="1" x14ac:dyDescent="0.25">
      <c r="E390" s="5"/>
      <c r="F390" s="5"/>
      <c r="G390" s="7"/>
      <c r="H390" s="7"/>
      <c r="I390" s="5"/>
      <c r="J390" s="10" t="e">
        <f>'PLAN CAP'!#REF!</f>
        <v>#REF!</v>
      </c>
      <c r="K390" s="13">
        <f>IF(G392=" "," ",(_xlfn.DAYS(PlanTrabajo[[#This Row],[FECHA DE FIN]],PlanTrabajo[[#This Row],[FECHA DE INICIO]])))</f>
        <v>0</v>
      </c>
    </row>
    <row r="391" spans="5:11" hidden="1" x14ac:dyDescent="0.25">
      <c r="E391" s="5"/>
      <c r="F391" s="5"/>
      <c r="G391" s="7"/>
      <c r="H391" s="7"/>
      <c r="I391" s="5"/>
      <c r="J391" s="10" t="e">
        <f>'PLAN CAP'!#REF!</f>
        <v>#REF!</v>
      </c>
      <c r="K391" s="13">
        <f>IF(G393=" "," ",(_xlfn.DAYS(PlanTrabajo[[#This Row],[FECHA DE FIN]],PlanTrabajo[[#This Row],[FECHA DE INICIO]])))</f>
        <v>0</v>
      </c>
    </row>
    <row r="392" spans="5:11" hidden="1" x14ac:dyDescent="0.25">
      <c r="E392" s="5"/>
      <c r="F392" s="5"/>
      <c r="G392" s="7"/>
      <c r="H392" s="7"/>
      <c r="I392" s="5"/>
      <c r="J392" s="10" t="e">
        <f>'PLAN CAP'!#REF!</f>
        <v>#REF!</v>
      </c>
      <c r="K392" s="13">
        <f>IF(G394=" "," ",(_xlfn.DAYS(PlanTrabajo[[#This Row],[FECHA DE FIN]],PlanTrabajo[[#This Row],[FECHA DE INICIO]])))</f>
        <v>0</v>
      </c>
    </row>
    <row r="393" spans="5:11" hidden="1" x14ac:dyDescent="0.25">
      <c r="E393" s="5"/>
      <c r="F393" s="5"/>
      <c r="G393" s="7"/>
      <c r="H393" s="7"/>
      <c r="I393" s="5"/>
      <c r="J393" s="10" t="e">
        <f>'PLAN CAP'!#REF!</f>
        <v>#REF!</v>
      </c>
      <c r="K393" s="13">
        <f>IF(G395=" "," ",(_xlfn.DAYS(PlanTrabajo[[#This Row],[FECHA DE FIN]],PlanTrabajo[[#This Row],[FECHA DE INICIO]])))</f>
        <v>0</v>
      </c>
    </row>
    <row r="394" spans="5:11" hidden="1" x14ac:dyDescent="0.25">
      <c r="E394" s="5"/>
      <c r="F394" s="5"/>
      <c r="G394" s="7"/>
      <c r="H394" s="7"/>
      <c r="I394" s="5"/>
      <c r="J394" s="10" t="e">
        <f>'PLAN CAP'!#REF!</f>
        <v>#REF!</v>
      </c>
      <c r="K394" s="13">
        <f>IF(G396=" "," ",(_xlfn.DAYS(PlanTrabajo[[#This Row],[FECHA DE FIN]],PlanTrabajo[[#This Row],[FECHA DE INICIO]])))</f>
        <v>0</v>
      </c>
    </row>
    <row r="395" spans="5:11" hidden="1" x14ac:dyDescent="0.25">
      <c r="E395" s="5"/>
      <c r="F395" s="5"/>
      <c r="G395" s="7"/>
      <c r="H395" s="7"/>
      <c r="I395" s="5"/>
      <c r="J395" s="10" t="e">
        <f>'PLAN CAP'!#REF!</f>
        <v>#REF!</v>
      </c>
      <c r="K395" s="13">
        <f>IF(G397=" "," ",(_xlfn.DAYS(PlanTrabajo[[#This Row],[FECHA DE FIN]],PlanTrabajo[[#This Row],[FECHA DE INICIO]])))</f>
        <v>0</v>
      </c>
    </row>
    <row r="396" spans="5:11" hidden="1" x14ac:dyDescent="0.25">
      <c r="E396" s="5"/>
      <c r="F396" s="5"/>
      <c r="G396" s="7"/>
      <c r="H396" s="7"/>
      <c r="I396" s="5"/>
      <c r="J396" s="10" t="e">
        <f>'PLAN CAP'!#REF!</f>
        <v>#REF!</v>
      </c>
      <c r="K396" s="13">
        <f>IF(G398=" "," ",(_xlfn.DAYS(PlanTrabajo[[#This Row],[FECHA DE FIN]],PlanTrabajo[[#This Row],[FECHA DE INICIO]])))</f>
        <v>0</v>
      </c>
    </row>
    <row r="397" spans="5:11" hidden="1" x14ac:dyDescent="0.25">
      <c r="E397" s="5"/>
      <c r="F397" s="5"/>
      <c r="G397" s="7"/>
      <c r="H397" s="7"/>
      <c r="I397" s="5"/>
      <c r="J397" s="10" t="e">
        <f>'PLAN CAP'!#REF!</f>
        <v>#REF!</v>
      </c>
      <c r="K397" s="13">
        <f>IF(G399=" "," ",(_xlfn.DAYS(PlanTrabajo[[#This Row],[FECHA DE FIN]],PlanTrabajo[[#This Row],[FECHA DE INICIO]])))</f>
        <v>0</v>
      </c>
    </row>
    <row r="398" spans="5:11" hidden="1" x14ac:dyDescent="0.25">
      <c r="E398" s="5"/>
      <c r="F398" s="5"/>
      <c r="G398" s="7"/>
      <c r="H398" s="7"/>
      <c r="I398" s="5"/>
      <c r="J398" s="10" t="e">
        <f>'PLAN CAP'!#REF!</f>
        <v>#REF!</v>
      </c>
      <c r="K398" s="13">
        <f>IF(G400=" "," ",(_xlfn.DAYS(PlanTrabajo[[#This Row],[FECHA DE FIN]],PlanTrabajo[[#This Row],[FECHA DE INICIO]])))</f>
        <v>0</v>
      </c>
    </row>
    <row r="399" spans="5:11" hidden="1" x14ac:dyDescent="0.25">
      <c r="E399" s="5"/>
      <c r="F399" s="5"/>
      <c r="G399" s="7"/>
      <c r="H399" s="7"/>
      <c r="I399" s="5"/>
      <c r="J399" s="10" t="e">
        <f>'PLAN CAP'!#REF!</f>
        <v>#REF!</v>
      </c>
      <c r="K399" s="13">
        <f>IF(G401=" "," ",(_xlfn.DAYS(PlanTrabajo[[#This Row],[FECHA DE FIN]],PlanTrabajo[[#This Row],[FECHA DE INICIO]])))</f>
        <v>0</v>
      </c>
    </row>
    <row r="400" spans="5:11" hidden="1" x14ac:dyDescent="0.25">
      <c r="E400" s="5"/>
      <c r="F400" s="5"/>
      <c r="G400" s="7"/>
      <c r="H400" s="7"/>
      <c r="I400" s="5"/>
      <c r="J400" s="10" t="e">
        <f>'PLAN CAP'!#REF!</f>
        <v>#REF!</v>
      </c>
      <c r="K400" s="13">
        <f>IF(G402=" "," ",(_xlfn.DAYS(PlanTrabajo[[#This Row],[FECHA DE FIN]],PlanTrabajo[[#This Row],[FECHA DE INICIO]])))</f>
        <v>0</v>
      </c>
    </row>
    <row r="401" spans="5:11" hidden="1" x14ac:dyDescent="0.25">
      <c r="E401" s="5"/>
      <c r="F401" s="5"/>
      <c r="G401" s="7"/>
      <c r="H401" s="7"/>
      <c r="I401" s="5"/>
      <c r="J401" s="10" t="e">
        <f>'PLAN CAP'!#REF!</f>
        <v>#REF!</v>
      </c>
      <c r="K401" s="13">
        <f>IF(G403=" "," ",(_xlfn.DAYS(PlanTrabajo[[#This Row],[FECHA DE FIN]],PlanTrabajo[[#This Row],[FECHA DE INICIO]])))</f>
        <v>0</v>
      </c>
    </row>
    <row r="402" spans="5:11" hidden="1" x14ac:dyDescent="0.25">
      <c r="E402" s="5"/>
      <c r="F402" s="5"/>
      <c r="G402" s="7"/>
      <c r="H402" s="7"/>
      <c r="I402" s="5"/>
      <c r="J402" s="10" t="e">
        <f>'PLAN CAP'!#REF!</f>
        <v>#REF!</v>
      </c>
      <c r="K402" s="13">
        <f>IF(G404=" "," ",(_xlfn.DAYS(PlanTrabajo[[#This Row],[FECHA DE FIN]],PlanTrabajo[[#This Row],[FECHA DE INICIO]])))</f>
        <v>0</v>
      </c>
    </row>
    <row r="403" spans="5:11" hidden="1" x14ac:dyDescent="0.25">
      <c r="E403" s="5"/>
      <c r="F403" s="5"/>
      <c r="G403" s="7"/>
      <c r="H403" s="7"/>
      <c r="I403" s="5"/>
      <c r="J403" s="10" t="e">
        <f>'PLAN CAP'!#REF!</f>
        <v>#REF!</v>
      </c>
      <c r="K403" s="13">
        <f>IF(G405=" "," ",(_xlfn.DAYS(PlanTrabajo[[#This Row],[FECHA DE FIN]],PlanTrabajo[[#This Row],[FECHA DE INICIO]])))</f>
        <v>0</v>
      </c>
    </row>
    <row r="404" spans="5:11" hidden="1" x14ac:dyDescent="0.25">
      <c r="E404" s="5"/>
      <c r="F404" s="5"/>
      <c r="G404" s="7"/>
      <c r="H404" s="7"/>
      <c r="I404" s="5"/>
      <c r="J404" s="10" t="e">
        <f>'PLAN CAP'!#REF!</f>
        <v>#REF!</v>
      </c>
      <c r="K404" s="13">
        <f>IF(G406=" "," ",(_xlfn.DAYS(PlanTrabajo[[#This Row],[FECHA DE FIN]],PlanTrabajo[[#This Row],[FECHA DE INICIO]])))</f>
        <v>0</v>
      </c>
    </row>
    <row r="405" spans="5:11" hidden="1" x14ac:dyDescent="0.25">
      <c r="E405" s="5"/>
      <c r="F405" s="5"/>
      <c r="G405" s="7"/>
      <c r="H405" s="7"/>
      <c r="I405" s="5"/>
      <c r="J405" s="10" t="e">
        <f>'PLAN CAP'!#REF!</f>
        <v>#REF!</v>
      </c>
      <c r="K405" s="13">
        <f>IF(G407=" "," ",(_xlfn.DAYS(PlanTrabajo[[#This Row],[FECHA DE FIN]],PlanTrabajo[[#This Row],[FECHA DE INICIO]])))</f>
        <v>0</v>
      </c>
    </row>
    <row r="406" spans="5:11" hidden="1" x14ac:dyDescent="0.25">
      <c r="E406" s="5"/>
      <c r="F406" s="5"/>
      <c r="G406" s="7"/>
      <c r="H406" s="7"/>
      <c r="I406" s="5"/>
      <c r="J406" s="10" t="e">
        <f>'PLAN CAP'!#REF!</f>
        <v>#REF!</v>
      </c>
      <c r="K406" s="13">
        <f>IF(G408=" "," ",(_xlfn.DAYS(PlanTrabajo[[#This Row],[FECHA DE FIN]],PlanTrabajo[[#This Row],[FECHA DE INICIO]])))</f>
        <v>0</v>
      </c>
    </row>
    <row r="407" spans="5:11" hidden="1" x14ac:dyDescent="0.25">
      <c r="E407" s="5"/>
      <c r="F407" s="5"/>
      <c r="G407" s="7"/>
      <c r="H407" s="7"/>
      <c r="I407" s="5"/>
      <c r="J407" s="10" t="e">
        <f>'PLAN CAP'!#REF!</f>
        <v>#REF!</v>
      </c>
      <c r="K407" s="13">
        <f>IF(G409=" "," ",(_xlfn.DAYS(PlanTrabajo[[#This Row],[FECHA DE FIN]],PlanTrabajo[[#This Row],[FECHA DE INICIO]])))</f>
        <v>0</v>
      </c>
    </row>
    <row r="408" spans="5:11" hidden="1" x14ac:dyDescent="0.25">
      <c r="E408" s="5"/>
      <c r="F408" s="5"/>
      <c r="G408" s="7"/>
      <c r="H408" s="7"/>
      <c r="I408" s="5"/>
      <c r="J408" s="10" t="e">
        <f>'PLAN CAP'!#REF!</f>
        <v>#REF!</v>
      </c>
      <c r="K408" s="13">
        <f>IF(G410=" "," ",(_xlfn.DAYS(PlanTrabajo[[#This Row],[FECHA DE FIN]],PlanTrabajo[[#This Row],[FECHA DE INICIO]])))</f>
        <v>0</v>
      </c>
    </row>
    <row r="409" spans="5:11" hidden="1" x14ac:dyDescent="0.25">
      <c r="E409" s="5"/>
      <c r="F409" s="5"/>
      <c r="G409" s="7"/>
      <c r="H409" s="7"/>
      <c r="I409" s="5"/>
      <c r="J409" s="10" t="e">
        <f>'PLAN CAP'!#REF!</f>
        <v>#REF!</v>
      </c>
      <c r="K409" s="13">
        <f>IF(G411=" "," ",(_xlfn.DAYS(PlanTrabajo[[#This Row],[FECHA DE FIN]],PlanTrabajo[[#This Row],[FECHA DE INICIO]])))</f>
        <v>0</v>
      </c>
    </row>
    <row r="410" spans="5:11" hidden="1" x14ac:dyDescent="0.25">
      <c r="E410" s="5"/>
      <c r="F410" s="5"/>
      <c r="G410" s="7"/>
      <c r="H410" s="7"/>
      <c r="I410" s="5"/>
      <c r="J410" s="10" t="e">
        <f>'PLAN CAP'!#REF!</f>
        <v>#REF!</v>
      </c>
      <c r="K410" s="13">
        <f>IF(G412=" "," ",(_xlfn.DAYS(PlanTrabajo[[#This Row],[FECHA DE FIN]],PlanTrabajo[[#This Row],[FECHA DE INICIO]])))</f>
        <v>0</v>
      </c>
    </row>
    <row r="411" spans="5:11" hidden="1" x14ac:dyDescent="0.25">
      <c r="E411" s="5"/>
      <c r="F411" s="5"/>
      <c r="G411" s="7"/>
      <c r="H411" s="7"/>
      <c r="I411" s="5"/>
      <c r="J411" s="10" t="e">
        <f>'PLAN CAP'!#REF!</f>
        <v>#REF!</v>
      </c>
      <c r="K411" s="13">
        <f>IF(G413=" "," ",(_xlfn.DAYS(PlanTrabajo[[#This Row],[FECHA DE FIN]],PlanTrabajo[[#This Row],[FECHA DE INICIO]])))</f>
        <v>0</v>
      </c>
    </row>
    <row r="412" spans="5:11" hidden="1" x14ac:dyDescent="0.25">
      <c r="E412" s="5"/>
      <c r="F412" s="5"/>
      <c r="G412" s="7"/>
      <c r="H412" s="7"/>
      <c r="I412" s="5"/>
      <c r="J412" s="10" t="e">
        <f>'PLAN CAP'!#REF!</f>
        <v>#REF!</v>
      </c>
      <c r="K412" s="13">
        <f>IF(G414=" "," ",(_xlfn.DAYS(PlanTrabajo[[#This Row],[FECHA DE FIN]],PlanTrabajo[[#This Row],[FECHA DE INICIO]])))</f>
        <v>0</v>
      </c>
    </row>
    <row r="413" spans="5:11" hidden="1" x14ac:dyDescent="0.25">
      <c r="E413" s="5"/>
      <c r="F413" s="5"/>
      <c r="G413" s="7"/>
      <c r="H413" s="7"/>
      <c r="I413" s="5"/>
      <c r="J413" s="10" t="e">
        <f>'PLAN CAP'!#REF!</f>
        <v>#REF!</v>
      </c>
      <c r="K413" s="13">
        <f>IF(G415=" "," ",(_xlfn.DAYS(PlanTrabajo[[#This Row],[FECHA DE FIN]],PlanTrabajo[[#This Row],[FECHA DE INICIO]])))</f>
        <v>0</v>
      </c>
    </row>
    <row r="414" spans="5:11" hidden="1" x14ac:dyDescent="0.25">
      <c r="E414" s="5"/>
      <c r="F414" s="5"/>
      <c r="G414" s="7"/>
      <c r="H414" s="7"/>
      <c r="I414" s="5"/>
      <c r="J414" s="10" t="e">
        <f>'PLAN CAP'!#REF!</f>
        <v>#REF!</v>
      </c>
      <c r="K414" s="13">
        <f>IF(G416=" "," ",(_xlfn.DAYS(PlanTrabajo[[#This Row],[FECHA DE FIN]],PlanTrabajo[[#This Row],[FECHA DE INICIO]])))</f>
        <v>0</v>
      </c>
    </row>
    <row r="415" spans="5:11" hidden="1" x14ac:dyDescent="0.25">
      <c r="E415" s="5"/>
      <c r="F415" s="5"/>
      <c r="G415" s="7"/>
      <c r="H415" s="7"/>
      <c r="I415" s="5"/>
      <c r="J415" s="10" t="e">
        <f>'PLAN CAP'!#REF!</f>
        <v>#REF!</v>
      </c>
      <c r="K415" s="13">
        <f>IF(G417=" "," ",(_xlfn.DAYS(PlanTrabajo[[#This Row],[FECHA DE FIN]],PlanTrabajo[[#This Row],[FECHA DE INICIO]])))</f>
        <v>0</v>
      </c>
    </row>
    <row r="416" spans="5:11" hidden="1" x14ac:dyDescent="0.25">
      <c r="E416" s="5"/>
      <c r="F416" s="5"/>
      <c r="G416" s="7"/>
      <c r="H416" s="7"/>
      <c r="I416" s="5"/>
      <c r="J416" s="10" t="e">
        <f>'PLAN CAP'!#REF!</f>
        <v>#REF!</v>
      </c>
      <c r="K416" s="13">
        <f>IF(G418=" "," ",(_xlfn.DAYS(PlanTrabajo[[#This Row],[FECHA DE FIN]],PlanTrabajo[[#This Row],[FECHA DE INICIO]])))</f>
        <v>0</v>
      </c>
    </row>
    <row r="417" spans="5:11" hidden="1" x14ac:dyDescent="0.25">
      <c r="E417" s="5"/>
      <c r="F417" s="5"/>
      <c r="G417" s="7"/>
      <c r="H417" s="7"/>
      <c r="I417" s="5"/>
      <c r="J417" s="10" t="e">
        <f>'PLAN CAP'!#REF!</f>
        <v>#REF!</v>
      </c>
      <c r="K417" s="13">
        <f>IF(G419=" "," ",(_xlfn.DAYS(PlanTrabajo[[#This Row],[FECHA DE FIN]],PlanTrabajo[[#This Row],[FECHA DE INICIO]])))</f>
        <v>0</v>
      </c>
    </row>
    <row r="418" spans="5:11" hidden="1" x14ac:dyDescent="0.25">
      <c r="E418" s="5"/>
      <c r="F418" s="5"/>
      <c r="G418" s="7"/>
      <c r="H418" s="7"/>
      <c r="I418" s="5"/>
      <c r="J418" s="10" t="e">
        <f>'PLAN CAP'!#REF!</f>
        <v>#REF!</v>
      </c>
      <c r="K418" s="13">
        <f>IF(G420=" "," ",(_xlfn.DAYS(PlanTrabajo[[#This Row],[FECHA DE FIN]],PlanTrabajo[[#This Row],[FECHA DE INICIO]])))</f>
        <v>0</v>
      </c>
    </row>
    <row r="419" spans="5:11" hidden="1" x14ac:dyDescent="0.25">
      <c r="E419" s="5"/>
      <c r="F419" s="5"/>
      <c r="G419" s="7"/>
      <c r="H419" s="7"/>
      <c r="I419" s="5"/>
      <c r="J419" s="10" t="e">
        <f>'PLAN CAP'!#REF!</f>
        <v>#REF!</v>
      </c>
      <c r="K419" s="13">
        <f>IF(G421=" "," ",(_xlfn.DAYS(PlanTrabajo[[#This Row],[FECHA DE FIN]],PlanTrabajo[[#This Row],[FECHA DE INICIO]])))</f>
        <v>0</v>
      </c>
    </row>
    <row r="420" spans="5:11" hidden="1" x14ac:dyDescent="0.25">
      <c r="E420" s="5"/>
      <c r="F420" s="5"/>
      <c r="G420" s="7"/>
      <c r="H420" s="7"/>
      <c r="I420" s="5"/>
      <c r="J420" s="10" t="e">
        <f>'PLAN CAP'!#REF!</f>
        <v>#REF!</v>
      </c>
      <c r="K420" s="13">
        <f>IF(G422=" "," ",(_xlfn.DAYS(PlanTrabajo[[#This Row],[FECHA DE FIN]],PlanTrabajo[[#This Row],[FECHA DE INICIO]])))</f>
        <v>0</v>
      </c>
    </row>
    <row r="421" spans="5:11" hidden="1" x14ac:dyDescent="0.25">
      <c r="E421" s="5"/>
      <c r="F421" s="5"/>
      <c r="G421" s="7"/>
      <c r="H421" s="7"/>
      <c r="I421" s="5"/>
      <c r="J421" s="10" t="e">
        <f>'PLAN CAP'!#REF!</f>
        <v>#REF!</v>
      </c>
      <c r="K421" s="13">
        <f>IF(G423=" "," ",(_xlfn.DAYS(PlanTrabajo[[#This Row],[FECHA DE FIN]],PlanTrabajo[[#This Row],[FECHA DE INICIO]])))</f>
        <v>0</v>
      </c>
    </row>
    <row r="422" spans="5:11" hidden="1" x14ac:dyDescent="0.25">
      <c r="E422" s="5"/>
      <c r="F422" s="5"/>
      <c r="G422" s="7"/>
      <c r="H422" s="7"/>
      <c r="I422" s="5"/>
      <c r="J422" s="10" t="e">
        <f>'PLAN CAP'!#REF!</f>
        <v>#REF!</v>
      </c>
      <c r="K422" s="13">
        <f>IF(G424=" "," ",(_xlfn.DAYS(PlanTrabajo[[#This Row],[FECHA DE FIN]],PlanTrabajo[[#This Row],[FECHA DE INICIO]])))</f>
        <v>0</v>
      </c>
    </row>
    <row r="423" spans="5:11" hidden="1" x14ac:dyDescent="0.25">
      <c r="E423" s="5"/>
      <c r="F423" s="5"/>
      <c r="G423" s="7"/>
      <c r="H423" s="7"/>
      <c r="I423" s="5"/>
      <c r="J423" s="10" t="e">
        <f>'PLAN CAP'!#REF!</f>
        <v>#REF!</v>
      </c>
      <c r="K423" s="13">
        <f>IF(G425=" "," ",(_xlfn.DAYS(PlanTrabajo[[#This Row],[FECHA DE FIN]],PlanTrabajo[[#This Row],[FECHA DE INICIO]])))</f>
        <v>0</v>
      </c>
    </row>
    <row r="424" spans="5:11" hidden="1" x14ac:dyDescent="0.25">
      <c r="E424" s="5"/>
      <c r="F424" s="5"/>
      <c r="G424" s="7"/>
      <c r="H424" s="7"/>
      <c r="I424" s="5"/>
      <c r="J424" s="10" t="e">
        <f>'PLAN CAP'!#REF!</f>
        <v>#REF!</v>
      </c>
      <c r="K424" s="13">
        <f>IF(G426=" "," ",(_xlfn.DAYS(PlanTrabajo[[#This Row],[FECHA DE FIN]],PlanTrabajo[[#This Row],[FECHA DE INICIO]])))</f>
        <v>0</v>
      </c>
    </row>
    <row r="425" spans="5:11" hidden="1" x14ac:dyDescent="0.25">
      <c r="E425" s="5"/>
      <c r="F425" s="5"/>
      <c r="G425" s="7"/>
      <c r="H425" s="7"/>
      <c r="I425" s="5"/>
      <c r="J425" s="10" t="e">
        <f>'PLAN CAP'!#REF!</f>
        <v>#REF!</v>
      </c>
      <c r="K425" s="13">
        <f>IF(G427=" "," ",(_xlfn.DAYS(PlanTrabajo[[#This Row],[FECHA DE FIN]],PlanTrabajo[[#This Row],[FECHA DE INICIO]])))</f>
        <v>0</v>
      </c>
    </row>
    <row r="426" spans="5:11" hidden="1" x14ac:dyDescent="0.25">
      <c r="E426" s="5"/>
      <c r="F426" s="5"/>
      <c r="G426" s="7"/>
      <c r="H426" s="7"/>
      <c r="I426" s="5"/>
      <c r="J426" s="10" t="e">
        <f>'PLAN CAP'!#REF!</f>
        <v>#REF!</v>
      </c>
      <c r="K426" s="13">
        <f>IF(G428=" "," ",(_xlfn.DAYS(PlanTrabajo[[#This Row],[FECHA DE FIN]],PlanTrabajo[[#This Row],[FECHA DE INICIO]])))</f>
        <v>0</v>
      </c>
    </row>
    <row r="427" spans="5:11" hidden="1" x14ac:dyDescent="0.25">
      <c r="E427" s="5"/>
      <c r="F427" s="5"/>
      <c r="G427" s="7"/>
      <c r="H427" s="7"/>
      <c r="I427" s="5"/>
      <c r="J427" s="10" t="e">
        <f>'PLAN CAP'!#REF!</f>
        <v>#REF!</v>
      </c>
      <c r="K427" s="13">
        <f>IF(G429=" "," ",(_xlfn.DAYS(PlanTrabajo[[#This Row],[FECHA DE FIN]],PlanTrabajo[[#This Row],[FECHA DE INICIO]])))</f>
        <v>0</v>
      </c>
    </row>
    <row r="428" spans="5:11" hidden="1" x14ac:dyDescent="0.25">
      <c r="E428" s="5"/>
      <c r="F428" s="5"/>
      <c r="G428" s="7"/>
      <c r="H428" s="7"/>
      <c r="I428" s="5"/>
      <c r="J428" s="10" t="e">
        <f>'PLAN CAP'!#REF!</f>
        <v>#REF!</v>
      </c>
      <c r="K428" s="13">
        <f>IF(G430=" "," ",(_xlfn.DAYS(PlanTrabajo[[#This Row],[FECHA DE FIN]],PlanTrabajo[[#This Row],[FECHA DE INICIO]])))</f>
        <v>0</v>
      </c>
    </row>
    <row r="429" spans="5:11" hidden="1" x14ac:dyDescent="0.25">
      <c r="E429" s="5"/>
      <c r="F429" s="5"/>
      <c r="G429" s="7"/>
      <c r="H429" s="7"/>
      <c r="I429" s="5"/>
      <c r="J429" s="10" t="e">
        <f>'PLAN CAP'!#REF!</f>
        <v>#REF!</v>
      </c>
      <c r="K429" s="13">
        <f>IF(G431=" "," ",(_xlfn.DAYS(PlanTrabajo[[#This Row],[FECHA DE FIN]],PlanTrabajo[[#This Row],[FECHA DE INICIO]])))</f>
        <v>0</v>
      </c>
    </row>
    <row r="430" spans="5:11" hidden="1" x14ac:dyDescent="0.25">
      <c r="E430" s="5"/>
      <c r="F430" s="5"/>
      <c r="G430" s="7"/>
      <c r="H430" s="7"/>
      <c r="I430" s="5"/>
      <c r="J430" s="10" t="e">
        <f>'PLAN CAP'!#REF!</f>
        <v>#REF!</v>
      </c>
      <c r="K430" s="13">
        <f>IF(G432=" "," ",(_xlfn.DAYS(PlanTrabajo[[#This Row],[FECHA DE FIN]],PlanTrabajo[[#This Row],[FECHA DE INICIO]])))</f>
        <v>0</v>
      </c>
    </row>
    <row r="431" spans="5:11" hidden="1" x14ac:dyDescent="0.25">
      <c r="E431" s="5"/>
      <c r="F431" s="5"/>
      <c r="G431" s="7"/>
      <c r="H431" s="7"/>
      <c r="I431" s="5"/>
      <c r="J431" s="10" t="e">
        <f>'PLAN CAP'!#REF!</f>
        <v>#REF!</v>
      </c>
      <c r="K431" s="13">
        <f>IF(G433=" "," ",(_xlfn.DAYS(PlanTrabajo[[#This Row],[FECHA DE FIN]],PlanTrabajo[[#This Row],[FECHA DE INICIO]])))</f>
        <v>0</v>
      </c>
    </row>
    <row r="432" spans="5:11" hidden="1" x14ac:dyDescent="0.25">
      <c r="E432" s="5"/>
      <c r="F432" s="5"/>
      <c r="G432" s="7"/>
      <c r="H432" s="7"/>
      <c r="I432" s="5"/>
      <c r="J432" s="10" t="e">
        <f>'PLAN CAP'!#REF!</f>
        <v>#REF!</v>
      </c>
      <c r="K432" s="13">
        <f>IF(G434=" "," ",(_xlfn.DAYS(PlanTrabajo[[#This Row],[FECHA DE FIN]],PlanTrabajo[[#This Row],[FECHA DE INICIO]])))</f>
        <v>0</v>
      </c>
    </row>
    <row r="433" spans="5:11" hidden="1" x14ac:dyDescent="0.25">
      <c r="E433" s="5"/>
      <c r="F433" s="5"/>
      <c r="G433" s="7"/>
      <c r="H433" s="7"/>
      <c r="I433" s="5"/>
      <c r="J433" s="10" t="e">
        <f>'PLAN CAP'!#REF!</f>
        <v>#REF!</v>
      </c>
      <c r="K433" s="13">
        <f>IF(G435=" "," ",(_xlfn.DAYS(PlanTrabajo[[#This Row],[FECHA DE FIN]],PlanTrabajo[[#This Row],[FECHA DE INICIO]])))</f>
        <v>0</v>
      </c>
    </row>
    <row r="434" spans="5:11" hidden="1" x14ac:dyDescent="0.25">
      <c r="E434" s="5"/>
      <c r="F434" s="5"/>
      <c r="G434" s="7"/>
      <c r="H434" s="7"/>
      <c r="I434" s="5"/>
      <c r="J434" s="10" t="e">
        <f>'PLAN CAP'!#REF!</f>
        <v>#REF!</v>
      </c>
      <c r="K434" s="13">
        <f>IF(G436=" "," ",(_xlfn.DAYS(PlanTrabajo[[#This Row],[FECHA DE FIN]],PlanTrabajo[[#This Row],[FECHA DE INICIO]])))</f>
        <v>0</v>
      </c>
    </row>
    <row r="435" spans="5:11" hidden="1" x14ac:dyDescent="0.25">
      <c r="E435" s="5"/>
      <c r="F435" s="5"/>
      <c r="G435" s="7"/>
      <c r="H435" s="7"/>
      <c r="I435" s="5"/>
      <c r="J435" s="10" t="e">
        <f>'PLAN CAP'!#REF!</f>
        <v>#REF!</v>
      </c>
      <c r="K435" s="13">
        <f>IF(G437=" "," ",(_xlfn.DAYS(PlanTrabajo[[#This Row],[FECHA DE FIN]],PlanTrabajo[[#This Row],[FECHA DE INICIO]])))</f>
        <v>0</v>
      </c>
    </row>
    <row r="436" spans="5:11" hidden="1" x14ac:dyDescent="0.25">
      <c r="E436" s="5"/>
      <c r="F436" s="5"/>
      <c r="G436" s="7"/>
      <c r="H436" s="7"/>
      <c r="I436" s="5"/>
      <c r="J436" s="10" t="e">
        <f>'PLAN CAP'!#REF!</f>
        <v>#REF!</v>
      </c>
      <c r="K436" s="13">
        <f>IF(G438=" "," ",(_xlfn.DAYS(PlanTrabajo[[#This Row],[FECHA DE FIN]],PlanTrabajo[[#This Row],[FECHA DE INICIO]])))</f>
        <v>0</v>
      </c>
    </row>
    <row r="437" spans="5:11" hidden="1" x14ac:dyDescent="0.25">
      <c r="E437" s="5"/>
      <c r="F437" s="5"/>
      <c r="G437" s="7"/>
      <c r="H437" s="7"/>
      <c r="I437" s="5"/>
      <c r="J437" s="10" t="e">
        <f>'PLAN CAP'!#REF!</f>
        <v>#REF!</v>
      </c>
      <c r="K437" s="13">
        <f>IF(G439=" "," ",(_xlfn.DAYS(PlanTrabajo[[#This Row],[FECHA DE FIN]],PlanTrabajo[[#This Row],[FECHA DE INICIO]])))</f>
        <v>0</v>
      </c>
    </row>
    <row r="438" spans="5:11" hidden="1" x14ac:dyDescent="0.25">
      <c r="E438" s="5"/>
      <c r="F438" s="5"/>
      <c r="G438" s="7"/>
      <c r="H438" s="7"/>
      <c r="I438" s="5"/>
      <c r="J438" s="10" t="e">
        <f>'PLAN CAP'!#REF!</f>
        <v>#REF!</v>
      </c>
      <c r="K438" s="13">
        <f>IF(G440=" "," ",(_xlfn.DAYS(PlanTrabajo[[#This Row],[FECHA DE FIN]],PlanTrabajo[[#This Row],[FECHA DE INICIO]])))</f>
        <v>0</v>
      </c>
    </row>
    <row r="439" spans="5:11" hidden="1" x14ac:dyDescent="0.25">
      <c r="E439" s="5"/>
      <c r="F439" s="5"/>
      <c r="G439" s="7"/>
      <c r="H439" s="7"/>
      <c r="I439" s="5"/>
      <c r="J439" s="10" t="e">
        <f>'PLAN CAP'!#REF!</f>
        <v>#REF!</v>
      </c>
      <c r="K439" s="13">
        <f>IF(G441=" "," ",(_xlfn.DAYS(PlanTrabajo[[#This Row],[FECHA DE FIN]],PlanTrabajo[[#This Row],[FECHA DE INICIO]])))</f>
        <v>0</v>
      </c>
    </row>
    <row r="440" spans="5:11" hidden="1" x14ac:dyDescent="0.25">
      <c r="E440" s="5"/>
      <c r="F440" s="5"/>
      <c r="G440" s="7"/>
      <c r="H440" s="7"/>
      <c r="I440" s="5"/>
      <c r="J440" s="10" t="e">
        <f>'PLAN CAP'!#REF!</f>
        <v>#REF!</v>
      </c>
      <c r="K440" s="13">
        <f>IF(G442=" "," ",(_xlfn.DAYS(PlanTrabajo[[#This Row],[FECHA DE FIN]],PlanTrabajo[[#This Row],[FECHA DE INICIO]])))</f>
        <v>0</v>
      </c>
    </row>
    <row r="441" spans="5:11" hidden="1" x14ac:dyDescent="0.25">
      <c r="E441" s="5"/>
      <c r="F441" s="5"/>
      <c r="G441" s="7"/>
      <c r="H441" s="7"/>
      <c r="I441" s="5"/>
      <c r="J441" s="10" t="e">
        <f>'PLAN CAP'!#REF!</f>
        <v>#REF!</v>
      </c>
      <c r="K441" s="13">
        <f>IF(G443=" "," ",(_xlfn.DAYS(PlanTrabajo[[#This Row],[FECHA DE FIN]],PlanTrabajo[[#This Row],[FECHA DE INICIO]])))</f>
        <v>0</v>
      </c>
    </row>
    <row r="442" spans="5:11" hidden="1" x14ac:dyDescent="0.25">
      <c r="E442" s="5"/>
      <c r="F442" s="5"/>
      <c r="G442" s="7"/>
      <c r="H442" s="7"/>
      <c r="I442" s="5"/>
      <c r="J442" s="10" t="e">
        <f>'PLAN CAP'!#REF!</f>
        <v>#REF!</v>
      </c>
      <c r="K442" s="13">
        <f>IF(G444=" "," ",(_xlfn.DAYS(PlanTrabajo[[#This Row],[FECHA DE FIN]],PlanTrabajo[[#This Row],[FECHA DE INICIO]])))</f>
        <v>0</v>
      </c>
    </row>
    <row r="443" spans="5:11" hidden="1" x14ac:dyDescent="0.25">
      <c r="E443" s="5"/>
      <c r="F443" s="5"/>
      <c r="G443" s="7"/>
      <c r="H443" s="7"/>
      <c r="I443" s="5"/>
      <c r="J443" s="10" t="e">
        <f>'PLAN CAP'!#REF!</f>
        <v>#REF!</v>
      </c>
      <c r="K443" s="13">
        <f>IF(G445=" "," ",(_xlfn.DAYS(PlanTrabajo[[#This Row],[FECHA DE FIN]],PlanTrabajo[[#This Row],[FECHA DE INICIO]])))</f>
        <v>0</v>
      </c>
    </row>
    <row r="444" spans="5:11" hidden="1" x14ac:dyDescent="0.25">
      <c r="E444" s="5"/>
      <c r="F444" s="5"/>
      <c r="G444" s="7"/>
      <c r="H444" s="7"/>
      <c r="I444" s="5"/>
      <c r="J444" s="10" t="e">
        <f>'PLAN CAP'!#REF!</f>
        <v>#REF!</v>
      </c>
      <c r="K444" s="13">
        <f>IF(G446=" "," ",(_xlfn.DAYS(PlanTrabajo[[#This Row],[FECHA DE FIN]],PlanTrabajo[[#This Row],[FECHA DE INICIO]])))</f>
        <v>0</v>
      </c>
    </row>
    <row r="445" spans="5:11" hidden="1" x14ac:dyDescent="0.25">
      <c r="E445" s="5"/>
      <c r="F445" s="5"/>
      <c r="G445" s="7"/>
      <c r="H445" s="7"/>
      <c r="I445" s="5"/>
      <c r="J445" s="10" t="e">
        <f>'PLAN CAP'!#REF!</f>
        <v>#REF!</v>
      </c>
      <c r="K445" s="13">
        <f>IF(G447=" "," ",(_xlfn.DAYS(PlanTrabajo[[#This Row],[FECHA DE FIN]],PlanTrabajo[[#This Row],[FECHA DE INICIO]])))</f>
        <v>0</v>
      </c>
    </row>
    <row r="446" spans="5:11" hidden="1" x14ac:dyDescent="0.25">
      <c r="E446" s="5"/>
      <c r="F446" s="5"/>
      <c r="G446" s="7"/>
      <c r="H446" s="7"/>
      <c r="I446" s="5"/>
      <c r="J446" s="10" t="e">
        <f>'PLAN CAP'!#REF!</f>
        <v>#REF!</v>
      </c>
      <c r="K446" s="13">
        <f>IF(G448=" "," ",(_xlfn.DAYS(PlanTrabajo[[#This Row],[FECHA DE FIN]],PlanTrabajo[[#This Row],[FECHA DE INICIO]])))</f>
        <v>0</v>
      </c>
    </row>
    <row r="447" spans="5:11" hidden="1" x14ac:dyDescent="0.25">
      <c r="E447" s="5"/>
      <c r="F447" s="5"/>
      <c r="G447" s="7"/>
      <c r="H447" s="7"/>
      <c r="I447" s="5"/>
      <c r="J447" s="10" t="e">
        <f>'PLAN CAP'!#REF!</f>
        <v>#REF!</v>
      </c>
      <c r="K447" s="13">
        <f>IF(G449=" "," ",(_xlfn.DAYS(PlanTrabajo[[#This Row],[FECHA DE FIN]],PlanTrabajo[[#This Row],[FECHA DE INICIO]])))</f>
        <v>0</v>
      </c>
    </row>
    <row r="448" spans="5:11" hidden="1" x14ac:dyDescent="0.25">
      <c r="E448" s="5"/>
      <c r="F448" s="5"/>
      <c r="G448" s="7"/>
      <c r="H448" s="7"/>
      <c r="I448" s="5"/>
      <c r="J448" s="10" t="e">
        <f>'PLAN CAP'!#REF!</f>
        <v>#REF!</v>
      </c>
      <c r="K448" s="13">
        <f>IF(G450=" "," ",(_xlfn.DAYS(PlanTrabajo[[#This Row],[FECHA DE FIN]],PlanTrabajo[[#This Row],[FECHA DE INICIO]])))</f>
        <v>0</v>
      </c>
    </row>
    <row r="449" spans="5:11" hidden="1" x14ac:dyDescent="0.25">
      <c r="E449" s="5"/>
      <c r="F449" s="5"/>
      <c r="G449" s="7"/>
      <c r="H449" s="7"/>
      <c r="I449" s="5"/>
      <c r="J449" s="10" t="e">
        <f>'PLAN CAP'!#REF!</f>
        <v>#REF!</v>
      </c>
      <c r="K449" s="13">
        <f>IF(G451=" "," ",(_xlfn.DAYS(PlanTrabajo[[#This Row],[FECHA DE FIN]],PlanTrabajo[[#This Row],[FECHA DE INICIO]])))</f>
        <v>0</v>
      </c>
    </row>
    <row r="450" spans="5:11" hidden="1" x14ac:dyDescent="0.25">
      <c r="E450" s="5"/>
      <c r="F450" s="5"/>
      <c r="G450" s="7"/>
      <c r="H450" s="7"/>
      <c r="I450" s="5"/>
      <c r="J450" s="10" t="e">
        <f>'PLAN CAP'!#REF!</f>
        <v>#REF!</v>
      </c>
      <c r="K450" s="13">
        <f>IF(G452=" "," ",(_xlfn.DAYS(PlanTrabajo[[#This Row],[FECHA DE FIN]],PlanTrabajo[[#This Row],[FECHA DE INICIO]])))</f>
        <v>0</v>
      </c>
    </row>
    <row r="451" spans="5:11" hidden="1" x14ac:dyDescent="0.25">
      <c r="E451" s="5"/>
      <c r="F451" s="5"/>
      <c r="G451" s="7"/>
      <c r="H451" s="7"/>
      <c r="I451" s="5"/>
      <c r="J451" s="10" t="e">
        <f>'PLAN CAP'!#REF!</f>
        <v>#REF!</v>
      </c>
      <c r="K451" s="13">
        <f>IF(G453=" "," ",(_xlfn.DAYS(PlanTrabajo[[#This Row],[FECHA DE FIN]],PlanTrabajo[[#This Row],[FECHA DE INICIO]])))</f>
        <v>0</v>
      </c>
    </row>
    <row r="452" spans="5:11" hidden="1" x14ac:dyDescent="0.25">
      <c r="E452" s="5"/>
      <c r="F452" s="5"/>
      <c r="G452" s="7"/>
      <c r="H452" s="7"/>
      <c r="I452" s="5"/>
      <c r="J452" s="10" t="e">
        <f>'PLAN CAP'!#REF!</f>
        <v>#REF!</v>
      </c>
      <c r="K452" s="13">
        <f>IF(G454=" "," ",(_xlfn.DAYS(PlanTrabajo[[#This Row],[FECHA DE FIN]],PlanTrabajo[[#This Row],[FECHA DE INICIO]])))</f>
        <v>0</v>
      </c>
    </row>
    <row r="453" spans="5:11" hidden="1" x14ac:dyDescent="0.25">
      <c r="E453" s="5"/>
      <c r="F453" s="5"/>
      <c r="G453" s="7"/>
      <c r="H453" s="7"/>
      <c r="I453" s="5"/>
      <c r="J453" s="10" t="e">
        <f>'PLAN CAP'!#REF!</f>
        <v>#REF!</v>
      </c>
      <c r="K453" s="13">
        <f>IF(G455=" "," ",(_xlfn.DAYS(PlanTrabajo[[#This Row],[FECHA DE FIN]],PlanTrabajo[[#This Row],[FECHA DE INICIO]])))</f>
        <v>0</v>
      </c>
    </row>
    <row r="454" spans="5:11" hidden="1" x14ac:dyDescent="0.25">
      <c r="E454" s="5"/>
      <c r="F454" s="5"/>
      <c r="G454" s="7"/>
      <c r="H454" s="7"/>
      <c r="I454" s="5"/>
      <c r="J454" s="10" t="e">
        <f>'PLAN CAP'!#REF!</f>
        <v>#REF!</v>
      </c>
      <c r="K454" s="13">
        <f>IF(G456=" "," ",(_xlfn.DAYS(PlanTrabajo[[#This Row],[FECHA DE FIN]],PlanTrabajo[[#This Row],[FECHA DE INICIO]])))</f>
        <v>0</v>
      </c>
    </row>
    <row r="455" spans="5:11" hidden="1" x14ac:dyDescent="0.25">
      <c r="E455" s="5"/>
      <c r="F455" s="5"/>
      <c r="G455" s="7"/>
      <c r="H455" s="7"/>
      <c r="I455" s="5"/>
      <c r="J455" s="10" t="e">
        <f>'PLAN CAP'!#REF!</f>
        <v>#REF!</v>
      </c>
      <c r="K455" s="13">
        <f>IF(G457=" "," ",(_xlfn.DAYS(PlanTrabajo[[#This Row],[FECHA DE FIN]],PlanTrabajo[[#This Row],[FECHA DE INICIO]])))</f>
        <v>0</v>
      </c>
    </row>
    <row r="456" spans="5:11" hidden="1" x14ac:dyDescent="0.25">
      <c r="E456" s="5"/>
      <c r="F456" s="5"/>
      <c r="G456" s="7"/>
      <c r="H456" s="7"/>
      <c r="I456" s="5"/>
      <c r="J456" s="10" t="e">
        <f>'PLAN CAP'!#REF!</f>
        <v>#REF!</v>
      </c>
      <c r="K456" s="13">
        <f>IF(G458=" "," ",(_xlfn.DAYS(PlanTrabajo[[#This Row],[FECHA DE FIN]],PlanTrabajo[[#This Row],[FECHA DE INICIO]])))</f>
        <v>0</v>
      </c>
    </row>
    <row r="457" spans="5:11" hidden="1" x14ac:dyDescent="0.25">
      <c r="E457" s="5"/>
      <c r="F457" s="5"/>
      <c r="G457" s="7"/>
      <c r="H457" s="7"/>
      <c r="I457" s="5"/>
      <c r="J457" s="10" t="e">
        <f>'PLAN CAP'!#REF!</f>
        <v>#REF!</v>
      </c>
      <c r="K457" s="13">
        <f>IF(G459=" "," ",(_xlfn.DAYS(PlanTrabajo[[#This Row],[FECHA DE FIN]],PlanTrabajo[[#This Row],[FECHA DE INICIO]])))</f>
        <v>0</v>
      </c>
    </row>
    <row r="458" spans="5:11" hidden="1" x14ac:dyDescent="0.25">
      <c r="E458" s="5"/>
      <c r="F458" s="5"/>
      <c r="G458" s="7"/>
      <c r="H458" s="7"/>
      <c r="I458" s="5"/>
      <c r="J458" s="10" t="e">
        <f>'PLAN CAP'!#REF!</f>
        <v>#REF!</v>
      </c>
      <c r="K458" s="13">
        <f>IF(G460=" "," ",(_xlfn.DAYS(PlanTrabajo[[#This Row],[FECHA DE FIN]],PlanTrabajo[[#This Row],[FECHA DE INICIO]])))</f>
        <v>0</v>
      </c>
    </row>
    <row r="459" spans="5:11" hidden="1" x14ac:dyDescent="0.25">
      <c r="E459" s="5"/>
      <c r="F459" s="5"/>
      <c r="G459" s="7"/>
      <c r="H459" s="7"/>
      <c r="I459" s="5"/>
      <c r="J459" s="10" t="e">
        <f>'PLAN CAP'!#REF!</f>
        <v>#REF!</v>
      </c>
      <c r="K459" s="13">
        <f>IF(G461=" "," ",(_xlfn.DAYS(PlanTrabajo[[#This Row],[FECHA DE FIN]],PlanTrabajo[[#This Row],[FECHA DE INICIO]])))</f>
        <v>0</v>
      </c>
    </row>
    <row r="460" spans="5:11" hidden="1" x14ac:dyDescent="0.25">
      <c r="E460" s="5"/>
      <c r="F460" s="5"/>
      <c r="G460" s="7"/>
      <c r="H460" s="7"/>
      <c r="I460" s="5"/>
      <c r="J460" s="10" t="e">
        <f>'PLAN CAP'!#REF!</f>
        <v>#REF!</v>
      </c>
      <c r="K460" s="13">
        <f>IF(G462=" "," ",(_xlfn.DAYS(PlanTrabajo[[#This Row],[FECHA DE FIN]],PlanTrabajo[[#This Row],[FECHA DE INICIO]])))</f>
        <v>0</v>
      </c>
    </row>
    <row r="461" spans="5:11" hidden="1" x14ac:dyDescent="0.25">
      <c r="E461" s="5"/>
      <c r="F461" s="5"/>
      <c r="G461" s="7"/>
      <c r="H461" s="7"/>
      <c r="I461" s="5"/>
      <c r="J461" s="10" t="e">
        <f>'PLAN CAP'!#REF!</f>
        <v>#REF!</v>
      </c>
      <c r="K461" s="13">
        <f>IF(G463=" "," ",(_xlfn.DAYS(PlanTrabajo[[#This Row],[FECHA DE FIN]],PlanTrabajo[[#This Row],[FECHA DE INICIO]])))</f>
        <v>0</v>
      </c>
    </row>
    <row r="462" spans="5:11" hidden="1" x14ac:dyDescent="0.25">
      <c r="E462" s="5"/>
      <c r="F462" s="5"/>
      <c r="G462" s="7"/>
      <c r="H462" s="7"/>
      <c r="I462" s="5"/>
      <c r="J462" s="10" t="e">
        <f>'PLAN CAP'!#REF!</f>
        <v>#REF!</v>
      </c>
      <c r="K462" s="13">
        <f>IF(G464=" "," ",(_xlfn.DAYS(PlanTrabajo[[#This Row],[FECHA DE FIN]],PlanTrabajo[[#This Row],[FECHA DE INICIO]])))</f>
        <v>0</v>
      </c>
    </row>
    <row r="463" spans="5:11" hidden="1" x14ac:dyDescent="0.25">
      <c r="E463" s="5"/>
      <c r="F463" s="5"/>
      <c r="G463" s="7"/>
      <c r="H463" s="7"/>
      <c r="I463" s="5"/>
      <c r="J463" s="10" t="e">
        <f>'PLAN CAP'!#REF!</f>
        <v>#REF!</v>
      </c>
      <c r="K463" s="13">
        <f>IF(G465=" "," ",(_xlfn.DAYS(PlanTrabajo[[#This Row],[FECHA DE FIN]],PlanTrabajo[[#This Row],[FECHA DE INICIO]])))</f>
        <v>0</v>
      </c>
    </row>
    <row r="464" spans="5:11" hidden="1" x14ac:dyDescent="0.25">
      <c r="E464" s="5"/>
      <c r="F464" s="5"/>
      <c r="G464" s="7"/>
      <c r="H464" s="7"/>
      <c r="I464" s="5"/>
      <c r="J464" s="10" t="e">
        <f>'PLAN CAP'!#REF!</f>
        <v>#REF!</v>
      </c>
      <c r="K464" s="13">
        <f>IF(G466=" "," ",(_xlfn.DAYS(PlanTrabajo[[#This Row],[FECHA DE FIN]],PlanTrabajo[[#This Row],[FECHA DE INICIO]])))</f>
        <v>0</v>
      </c>
    </row>
    <row r="465" spans="5:11" hidden="1" x14ac:dyDescent="0.25">
      <c r="E465" s="5"/>
      <c r="F465" s="5"/>
      <c r="G465" s="7"/>
      <c r="H465" s="7"/>
      <c r="I465" s="5"/>
      <c r="J465" s="10" t="e">
        <f>'PLAN CAP'!#REF!</f>
        <v>#REF!</v>
      </c>
      <c r="K465" s="13">
        <f>IF(G467=" "," ",(_xlfn.DAYS(PlanTrabajo[[#This Row],[FECHA DE FIN]],PlanTrabajo[[#This Row],[FECHA DE INICIO]])))</f>
        <v>0</v>
      </c>
    </row>
    <row r="466" spans="5:11" hidden="1" x14ac:dyDescent="0.25">
      <c r="E466" s="5"/>
      <c r="F466" s="5"/>
      <c r="G466" s="7"/>
      <c r="H466" s="7"/>
      <c r="I466" s="5"/>
      <c r="J466" s="10" t="e">
        <f>'PLAN CAP'!#REF!</f>
        <v>#REF!</v>
      </c>
      <c r="K466" s="13">
        <f>IF(G468=" "," ",(_xlfn.DAYS(PlanTrabajo[[#This Row],[FECHA DE FIN]],PlanTrabajo[[#This Row],[FECHA DE INICIO]])))</f>
        <v>0</v>
      </c>
    </row>
    <row r="467" spans="5:11" hidden="1" x14ac:dyDescent="0.25">
      <c r="E467" s="5"/>
      <c r="F467" s="5"/>
      <c r="G467" s="7"/>
      <c r="H467" s="7"/>
      <c r="I467" s="5"/>
      <c r="J467" s="10" t="e">
        <f>'PLAN CAP'!#REF!</f>
        <v>#REF!</v>
      </c>
      <c r="K467" s="13">
        <f>IF(G469=" "," ",(_xlfn.DAYS(PlanTrabajo[[#This Row],[FECHA DE FIN]],PlanTrabajo[[#This Row],[FECHA DE INICIO]])))</f>
        <v>0</v>
      </c>
    </row>
    <row r="468" spans="5:11" hidden="1" x14ac:dyDescent="0.25">
      <c r="E468" s="5"/>
      <c r="F468" s="5"/>
      <c r="G468" s="7"/>
      <c r="H468" s="7"/>
      <c r="I468" s="5"/>
      <c r="J468" s="10" t="e">
        <f>'PLAN CAP'!#REF!</f>
        <v>#REF!</v>
      </c>
      <c r="K468" s="13">
        <f>IF(G470=" "," ",(_xlfn.DAYS(PlanTrabajo[[#This Row],[FECHA DE FIN]],PlanTrabajo[[#This Row],[FECHA DE INICIO]])))</f>
        <v>0</v>
      </c>
    </row>
    <row r="469" spans="5:11" hidden="1" x14ac:dyDescent="0.25">
      <c r="E469" s="5"/>
      <c r="F469" s="5"/>
      <c r="G469" s="7"/>
      <c r="H469" s="7"/>
      <c r="I469" s="5"/>
      <c r="J469" s="10" t="e">
        <f>'PLAN CAP'!#REF!</f>
        <v>#REF!</v>
      </c>
      <c r="K469" s="13">
        <f>IF(G471=" "," ",(_xlfn.DAYS(PlanTrabajo[[#This Row],[FECHA DE FIN]],PlanTrabajo[[#This Row],[FECHA DE INICIO]])))</f>
        <v>0</v>
      </c>
    </row>
    <row r="470" spans="5:11" hidden="1" x14ac:dyDescent="0.25">
      <c r="E470" s="5"/>
      <c r="F470" s="5"/>
      <c r="G470" s="7"/>
      <c r="H470" s="7"/>
      <c r="I470" s="5"/>
      <c r="J470" s="10" t="e">
        <f>'PLAN CAP'!#REF!</f>
        <v>#REF!</v>
      </c>
      <c r="K470" s="13">
        <f>IF(G472=" "," ",(_xlfn.DAYS(PlanTrabajo[[#This Row],[FECHA DE FIN]],PlanTrabajo[[#This Row],[FECHA DE INICIO]])))</f>
        <v>0</v>
      </c>
    </row>
    <row r="471" spans="5:11" hidden="1" x14ac:dyDescent="0.25">
      <c r="E471" s="5"/>
      <c r="F471" s="5"/>
      <c r="G471" s="7"/>
      <c r="H471" s="7"/>
      <c r="I471" s="5"/>
      <c r="J471" s="10" t="e">
        <f>'PLAN CAP'!#REF!</f>
        <v>#REF!</v>
      </c>
      <c r="K471" s="13">
        <f>IF(G473=" "," ",(_xlfn.DAYS(PlanTrabajo[[#This Row],[FECHA DE FIN]],PlanTrabajo[[#This Row],[FECHA DE INICIO]])))</f>
        <v>0</v>
      </c>
    </row>
    <row r="472" spans="5:11" hidden="1" x14ac:dyDescent="0.25">
      <c r="E472" s="5"/>
      <c r="F472" s="5"/>
      <c r="G472" s="7"/>
      <c r="H472" s="7"/>
      <c r="I472" s="5"/>
      <c r="J472" s="10" t="e">
        <f>'PLAN CAP'!#REF!</f>
        <v>#REF!</v>
      </c>
      <c r="K472" s="13">
        <f>IF(G474=" "," ",(_xlfn.DAYS(PlanTrabajo[[#This Row],[FECHA DE FIN]],PlanTrabajo[[#This Row],[FECHA DE INICIO]])))</f>
        <v>0</v>
      </c>
    </row>
    <row r="473" spans="5:11" hidden="1" x14ac:dyDescent="0.25">
      <c r="E473" s="5"/>
      <c r="F473" s="5"/>
      <c r="G473" s="7"/>
      <c r="H473" s="7"/>
      <c r="I473" s="5"/>
      <c r="J473" s="10" t="e">
        <f>'PLAN CAP'!#REF!</f>
        <v>#REF!</v>
      </c>
      <c r="K473" s="13">
        <f>IF(G475=" "," ",(_xlfn.DAYS(PlanTrabajo[[#This Row],[FECHA DE FIN]],PlanTrabajo[[#This Row],[FECHA DE INICIO]])))</f>
        <v>0</v>
      </c>
    </row>
    <row r="474" spans="5:11" hidden="1" x14ac:dyDescent="0.25">
      <c r="E474" s="5"/>
      <c r="F474" s="5"/>
      <c r="G474" s="7"/>
      <c r="H474" s="7"/>
      <c r="I474" s="5"/>
      <c r="J474" s="10" t="e">
        <f>'PLAN CAP'!#REF!</f>
        <v>#REF!</v>
      </c>
      <c r="K474" s="13">
        <f>IF(G476=" "," ",(_xlfn.DAYS(PlanTrabajo[[#This Row],[FECHA DE FIN]],PlanTrabajo[[#This Row],[FECHA DE INICIO]])))</f>
        <v>0</v>
      </c>
    </row>
    <row r="475" spans="5:11" hidden="1" x14ac:dyDescent="0.25">
      <c r="E475" s="5"/>
      <c r="F475" s="5"/>
      <c r="G475" s="7"/>
      <c r="H475" s="7"/>
      <c r="I475" s="5"/>
      <c r="J475" s="10" t="e">
        <f>'PLAN CAP'!#REF!</f>
        <v>#REF!</v>
      </c>
      <c r="K475" s="13">
        <f>IF(G477=" "," ",(_xlfn.DAYS(PlanTrabajo[[#This Row],[FECHA DE FIN]],PlanTrabajo[[#This Row],[FECHA DE INICIO]])))</f>
        <v>0</v>
      </c>
    </row>
    <row r="476" spans="5:11" hidden="1" x14ac:dyDescent="0.25">
      <c r="E476" s="5"/>
      <c r="F476" s="5"/>
      <c r="G476" s="7"/>
      <c r="H476" s="7"/>
      <c r="I476" s="5"/>
      <c r="J476" s="10" t="e">
        <f>'PLAN CAP'!#REF!</f>
        <v>#REF!</v>
      </c>
      <c r="K476" s="13">
        <f>IF(G478=" "," ",(_xlfn.DAYS(PlanTrabajo[[#This Row],[FECHA DE FIN]],PlanTrabajo[[#This Row],[FECHA DE INICIO]])))</f>
        <v>0</v>
      </c>
    </row>
    <row r="477" spans="5:11" hidden="1" x14ac:dyDescent="0.25">
      <c r="E477" s="5"/>
      <c r="F477" s="5"/>
      <c r="G477" s="7"/>
      <c r="H477" s="7"/>
      <c r="I477" s="5"/>
      <c r="J477" s="10" t="e">
        <f>'PLAN CAP'!#REF!</f>
        <v>#REF!</v>
      </c>
      <c r="K477" s="13">
        <f>IF(G479=" "," ",(_xlfn.DAYS(PlanTrabajo[[#This Row],[FECHA DE FIN]],PlanTrabajo[[#This Row],[FECHA DE INICIO]])))</f>
        <v>0</v>
      </c>
    </row>
    <row r="478" spans="5:11" hidden="1" x14ac:dyDescent="0.25">
      <c r="E478" s="5"/>
      <c r="F478" s="5"/>
      <c r="G478" s="7"/>
      <c r="H478" s="7"/>
      <c r="I478" s="5"/>
      <c r="J478" s="10" t="e">
        <f>'PLAN CAP'!#REF!</f>
        <v>#REF!</v>
      </c>
      <c r="K478" s="13">
        <f>IF(G480=" "," ",(_xlfn.DAYS(PlanTrabajo[[#This Row],[FECHA DE FIN]],PlanTrabajo[[#This Row],[FECHA DE INICIO]])))</f>
        <v>0</v>
      </c>
    </row>
    <row r="479" spans="5:11" hidden="1" x14ac:dyDescent="0.25">
      <c r="E479" s="5"/>
      <c r="F479" s="5"/>
      <c r="G479" s="7"/>
      <c r="H479" s="7"/>
      <c r="I479" s="5"/>
      <c r="J479" s="10" t="e">
        <f>'PLAN CAP'!#REF!</f>
        <v>#REF!</v>
      </c>
      <c r="K479" s="13">
        <f>IF(G481=" "," ",(_xlfn.DAYS(PlanTrabajo[[#This Row],[FECHA DE FIN]],PlanTrabajo[[#This Row],[FECHA DE INICIO]])))</f>
        <v>0</v>
      </c>
    </row>
    <row r="480" spans="5:11" hidden="1" x14ac:dyDescent="0.25">
      <c r="E480" s="5"/>
      <c r="F480" s="5"/>
      <c r="G480" s="7"/>
      <c r="H480" s="7"/>
      <c r="I480" s="5"/>
      <c r="J480" s="10" t="e">
        <f>'PLAN CAP'!#REF!</f>
        <v>#REF!</v>
      </c>
      <c r="K480" s="13">
        <f>IF(G482=" "," ",(_xlfn.DAYS(PlanTrabajo[[#This Row],[FECHA DE FIN]],PlanTrabajo[[#This Row],[FECHA DE INICIO]])))</f>
        <v>0</v>
      </c>
    </row>
    <row r="481" spans="5:11" hidden="1" x14ac:dyDescent="0.25">
      <c r="E481" s="5"/>
      <c r="F481" s="5"/>
      <c r="G481" s="7"/>
      <c r="H481" s="7"/>
      <c r="I481" s="5"/>
      <c r="J481" s="10" t="e">
        <f>'PLAN CAP'!#REF!</f>
        <v>#REF!</v>
      </c>
      <c r="K481" s="13">
        <f>IF(G483=" "," ",(_xlfn.DAYS(PlanTrabajo[[#This Row],[FECHA DE FIN]],PlanTrabajo[[#This Row],[FECHA DE INICIO]])))</f>
        <v>0</v>
      </c>
    </row>
    <row r="482" spans="5:11" hidden="1" x14ac:dyDescent="0.25">
      <c r="E482" s="5"/>
      <c r="F482" s="5"/>
      <c r="G482" s="7"/>
      <c r="H482" s="7"/>
      <c r="I482" s="5"/>
      <c r="J482" s="10" t="e">
        <f>'PLAN CAP'!#REF!</f>
        <v>#REF!</v>
      </c>
      <c r="K482" s="13">
        <f>IF(G484=" "," ",(_xlfn.DAYS(PlanTrabajo[[#This Row],[FECHA DE FIN]],PlanTrabajo[[#This Row],[FECHA DE INICIO]])))</f>
        <v>0</v>
      </c>
    </row>
    <row r="483" spans="5:11" hidden="1" x14ac:dyDescent="0.25">
      <c r="E483" s="5"/>
      <c r="F483" s="5"/>
      <c r="G483" s="7"/>
      <c r="H483" s="7"/>
      <c r="I483" s="5"/>
      <c r="J483" s="10" t="e">
        <f>'PLAN CAP'!#REF!</f>
        <v>#REF!</v>
      </c>
      <c r="K483" s="13">
        <f>IF(G485=" "," ",(_xlfn.DAYS(PlanTrabajo[[#This Row],[FECHA DE FIN]],PlanTrabajo[[#This Row],[FECHA DE INICIO]])))</f>
        <v>0</v>
      </c>
    </row>
    <row r="484" spans="5:11" hidden="1" x14ac:dyDescent="0.25">
      <c r="E484" s="5"/>
      <c r="F484" s="5"/>
      <c r="G484" s="7"/>
      <c r="H484" s="7"/>
      <c r="I484" s="5"/>
      <c r="J484" s="10" t="e">
        <f>'PLAN CAP'!#REF!</f>
        <v>#REF!</v>
      </c>
      <c r="K484" s="13">
        <f>IF(G486=" "," ",(_xlfn.DAYS(PlanTrabajo[[#This Row],[FECHA DE FIN]],PlanTrabajo[[#This Row],[FECHA DE INICIO]])))</f>
        <v>0</v>
      </c>
    </row>
    <row r="485" spans="5:11" hidden="1" x14ac:dyDescent="0.25">
      <c r="E485" s="5"/>
      <c r="F485" s="5"/>
      <c r="G485" s="7"/>
      <c r="H485" s="7"/>
      <c r="I485" s="5"/>
      <c r="J485" s="10" t="e">
        <f>'PLAN CAP'!#REF!</f>
        <v>#REF!</v>
      </c>
      <c r="K485" s="13">
        <f>IF(G487=" "," ",(_xlfn.DAYS(PlanTrabajo[[#This Row],[FECHA DE FIN]],PlanTrabajo[[#This Row],[FECHA DE INICIO]])))</f>
        <v>0</v>
      </c>
    </row>
    <row r="486" spans="5:11" hidden="1" x14ac:dyDescent="0.25">
      <c r="E486" s="5"/>
      <c r="F486" s="5"/>
      <c r="G486" s="7"/>
      <c r="H486" s="7"/>
      <c r="I486" s="5"/>
      <c r="J486" s="10" t="e">
        <f>'PLAN CAP'!#REF!</f>
        <v>#REF!</v>
      </c>
      <c r="K486" s="13">
        <f>IF(G488=" "," ",(_xlfn.DAYS(PlanTrabajo[[#This Row],[FECHA DE FIN]],PlanTrabajo[[#This Row],[FECHA DE INICIO]])))</f>
        <v>0</v>
      </c>
    </row>
    <row r="487" spans="5:11" hidden="1" x14ac:dyDescent="0.25">
      <c r="E487" s="5"/>
      <c r="F487" s="5"/>
      <c r="G487" s="7"/>
      <c r="H487" s="7"/>
      <c r="I487" s="5"/>
      <c r="J487" s="10" t="e">
        <f>'PLAN CAP'!#REF!</f>
        <v>#REF!</v>
      </c>
      <c r="K487" s="13">
        <f>IF(G489=" "," ",(_xlfn.DAYS(PlanTrabajo[[#This Row],[FECHA DE FIN]],PlanTrabajo[[#This Row],[FECHA DE INICIO]])))</f>
        <v>0</v>
      </c>
    </row>
    <row r="488" spans="5:11" hidden="1" x14ac:dyDescent="0.25">
      <c r="E488" s="5"/>
      <c r="F488" s="5"/>
      <c r="G488" s="7"/>
      <c r="H488" s="7"/>
      <c r="I488" s="5"/>
      <c r="J488" s="10" t="e">
        <f>'PLAN CAP'!#REF!</f>
        <v>#REF!</v>
      </c>
      <c r="K488" s="13">
        <f>IF(G490=" "," ",(_xlfn.DAYS(PlanTrabajo[[#This Row],[FECHA DE FIN]],PlanTrabajo[[#This Row],[FECHA DE INICIO]])))</f>
        <v>0</v>
      </c>
    </row>
    <row r="489" spans="5:11" hidden="1" x14ac:dyDescent="0.25">
      <c r="E489" s="5"/>
      <c r="F489" s="5"/>
      <c r="G489" s="7"/>
      <c r="H489" s="7"/>
      <c r="I489" s="5"/>
      <c r="J489" s="10" t="e">
        <f>'PLAN CAP'!#REF!</f>
        <v>#REF!</v>
      </c>
      <c r="K489" s="13">
        <f>IF(G491=" "," ",(_xlfn.DAYS(PlanTrabajo[[#This Row],[FECHA DE FIN]],PlanTrabajo[[#This Row],[FECHA DE INICIO]])))</f>
        <v>0</v>
      </c>
    </row>
    <row r="490" spans="5:11" hidden="1" x14ac:dyDescent="0.25">
      <c r="E490" s="5"/>
      <c r="F490" s="5"/>
      <c r="G490" s="7"/>
      <c r="H490" s="7"/>
      <c r="I490" s="5"/>
      <c r="J490" s="10" t="e">
        <f>'PLAN CAP'!#REF!</f>
        <v>#REF!</v>
      </c>
      <c r="K490" s="13">
        <f>IF(G492=" "," ",(_xlfn.DAYS(PlanTrabajo[[#This Row],[FECHA DE FIN]],PlanTrabajo[[#This Row],[FECHA DE INICIO]])))</f>
        <v>0</v>
      </c>
    </row>
    <row r="491" spans="5:11" hidden="1" x14ac:dyDescent="0.25">
      <c r="E491" s="5"/>
      <c r="F491" s="5"/>
      <c r="G491" s="7"/>
      <c r="H491" s="7"/>
      <c r="I491" s="5"/>
      <c r="J491" s="10" t="e">
        <f>'PLAN CAP'!#REF!</f>
        <v>#REF!</v>
      </c>
      <c r="K491" s="13">
        <f>IF(G493=" "," ",(_xlfn.DAYS(PlanTrabajo[[#This Row],[FECHA DE FIN]],PlanTrabajo[[#This Row],[FECHA DE INICIO]])))</f>
        <v>0</v>
      </c>
    </row>
    <row r="492" spans="5:11" hidden="1" x14ac:dyDescent="0.25">
      <c r="E492" s="5"/>
      <c r="F492" s="5"/>
      <c r="G492" s="7"/>
      <c r="H492" s="7"/>
      <c r="I492" s="5"/>
      <c r="J492" s="10" t="e">
        <f>'PLAN CAP'!#REF!</f>
        <v>#REF!</v>
      </c>
      <c r="K492" s="13">
        <f>IF(G494=" "," ",(_xlfn.DAYS(PlanTrabajo[[#This Row],[FECHA DE FIN]],PlanTrabajo[[#This Row],[FECHA DE INICIO]])))</f>
        <v>0</v>
      </c>
    </row>
    <row r="493" spans="5:11" hidden="1" x14ac:dyDescent="0.25">
      <c r="E493" s="5"/>
      <c r="F493" s="5"/>
      <c r="G493" s="7"/>
      <c r="H493" s="7"/>
      <c r="I493" s="5"/>
      <c r="J493" s="10" t="e">
        <f>'PLAN CAP'!#REF!</f>
        <v>#REF!</v>
      </c>
      <c r="K493" s="13">
        <f>IF(G495=" "," ",(_xlfn.DAYS(PlanTrabajo[[#This Row],[FECHA DE FIN]],PlanTrabajo[[#This Row],[FECHA DE INICIO]])))</f>
        <v>0</v>
      </c>
    </row>
    <row r="494" spans="5:11" hidden="1" x14ac:dyDescent="0.25">
      <c r="E494" s="5"/>
      <c r="F494" s="5"/>
      <c r="G494" s="7"/>
      <c r="H494" s="7"/>
      <c r="I494" s="5"/>
      <c r="J494" s="10" t="e">
        <f>'PLAN CAP'!#REF!</f>
        <v>#REF!</v>
      </c>
      <c r="K494" s="13">
        <f>IF(G496=" "," ",(_xlfn.DAYS(PlanTrabajo[[#This Row],[FECHA DE FIN]],PlanTrabajo[[#This Row],[FECHA DE INICIO]])))</f>
        <v>0</v>
      </c>
    </row>
    <row r="495" spans="5:11" hidden="1" x14ac:dyDescent="0.25">
      <c r="E495" s="5"/>
      <c r="F495" s="5"/>
      <c r="G495" s="7"/>
      <c r="H495" s="7"/>
      <c r="I495" s="5"/>
      <c r="J495" s="10" t="e">
        <f>'PLAN CAP'!#REF!</f>
        <v>#REF!</v>
      </c>
      <c r="K495" s="13">
        <f>IF(G497=" "," ",(_xlfn.DAYS(PlanTrabajo[[#This Row],[FECHA DE FIN]],PlanTrabajo[[#This Row],[FECHA DE INICIO]])))</f>
        <v>0</v>
      </c>
    </row>
    <row r="496" spans="5:11" hidden="1" x14ac:dyDescent="0.25">
      <c r="E496" s="5"/>
      <c r="F496" s="5"/>
      <c r="G496" s="7"/>
      <c r="H496" s="7"/>
      <c r="I496" s="5"/>
      <c r="J496" s="10" t="e">
        <f>'PLAN CAP'!#REF!</f>
        <v>#REF!</v>
      </c>
      <c r="K496" s="13">
        <f>IF(G498=" "," ",(_xlfn.DAYS(PlanTrabajo[[#This Row],[FECHA DE FIN]],PlanTrabajo[[#This Row],[FECHA DE INICIO]])))</f>
        <v>0</v>
      </c>
    </row>
    <row r="497" spans="5:11" hidden="1" x14ac:dyDescent="0.25">
      <c r="E497" s="5"/>
      <c r="F497" s="5"/>
      <c r="G497" s="7"/>
      <c r="H497" s="7"/>
      <c r="I497" s="5"/>
      <c r="J497" s="10" t="e">
        <f>'PLAN CAP'!#REF!</f>
        <v>#REF!</v>
      </c>
      <c r="K497" s="13">
        <f>IF(G499=" "," ",(_xlfn.DAYS(PlanTrabajo[[#This Row],[FECHA DE FIN]],PlanTrabajo[[#This Row],[FECHA DE INICIO]])))</f>
        <v>0</v>
      </c>
    </row>
    <row r="498" spans="5:11" hidden="1" x14ac:dyDescent="0.25">
      <c r="E498" s="5"/>
      <c r="F498" s="5"/>
      <c r="G498" s="7"/>
      <c r="H498" s="7"/>
      <c r="I498" s="5"/>
      <c r="J498" s="10" t="e">
        <f>'PLAN CAP'!#REF!</f>
        <v>#REF!</v>
      </c>
      <c r="K498" s="13">
        <f>IF(G500=" "," ",(_xlfn.DAYS(PlanTrabajo[[#This Row],[FECHA DE FIN]],PlanTrabajo[[#This Row],[FECHA DE INICIO]])))</f>
        <v>0</v>
      </c>
    </row>
    <row r="499" spans="5:11" hidden="1" x14ac:dyDescent="0.25">
      <c r="E499" s="5"/>
      <c r="F499" s="5"/>
      <c r="G499" s="7"/>
      <c r="H499" s="7"/>
      <c r="I499" s="5"/>
      <c r="J499" s="10" t="e">
        <f>'PLAN CAP'!#REF!</f>
        <v>#REF!</v>
      </c>
      <c r="K499" s="13">
        <f>IF(G501=" "," ",(_xlfn.DAYS(PlanTrabajo[[#This Row],[FECHA DE FIN]],PlanTrabajo[[#This Row],[FECHA DE INICIO]])))</f>
        <v>0</v>
      </c>
    </row>
    <row r="500" spans="5:11" x14ac:dyDescent="0.25">
      <c r="E500" s="5"/>
      <c r="F500" s="5"/>
      <c r="G500" s="7"/>
      <c r="H500" s="7"/>
      <c r="I500" s="5"/>
      <c r="J500" s="5"/>
    </row>
    <row r="501" spans="5:11" x14ac:dyDescent="0.25">
      <c r="E501" s="5"/>
      <c r="F501" s="5"/>
      <c r="G501" s="7"/>
      <c r="H501" s="7"/>
      <c r="I501" s="5"/>
      <c r="J501" s="5"/>
    </row>
    <row r="502" spans="5:11" x14ac:dyDescent="0.25">
      <c r="E502" s="5"/>
      <c r="F502" s="5"/>
      <c r="G502" s="7"/>
      <c r="H502" s="7"/>
      <c r="I502" s="5"/>
      <c r="J502" s="5"/>
    </row>
    <row r="503" spans="5:11" x14ac:dyDescent="0.25">
      <c r="E503" s="5"/>
      <c r="F503" s="5"/>
      <c r="G503" s="7"/>
      <c r="H503" s="7"/>
      <c r="I503" s="5"/>
      <c r="J503" s="5"/>
    </row>
    <row r="504" spans="5:11" x14ac:dyDescent="0.25">
      <c r="E504" s="5"/>
      <c r="F504" s="5"/>
      <c r="G504" s="7"/>
      <c r="H504" s="7"/>
      <c r="I504" s="5"/>
      <c r="J504" s="5"/>
    </row>
    <row r="505" spans="5:11" x14ac:dyDescent="0.25">
      <c r="E505" s="5"/>
      <c r="F505" s="5"/>
      <c r="G505" s="7"/>
      <c r="H505" s="7"/>
      <c r="I505" s="5"/>
      <c r="J505" s="5"/>
    </row>
    <row r="506" spans="5:11" x14ac:dyDescent="0.25">
      <c r="E506" s="5"/>
      <c r="F506" s="5"/>
      <c r="G506" s="7"/>
      <c r="H506" s="7"/>
      <c r="I506" s="5"/>
      <c r="J506" s="5"/>
    </row>
    <row r="507" spans="5:11" x14ac:dyDescent="0.25">
      <c r="E507" s="5"/>
      <c r="F507" s="5"/>
      <c r="G507" s="7"/>
      <c r="H507" s="7"/>
      <c r="I507" s="5"/>
      <c r="J507" s="5"/>
    </row>
    <row r="508" spans="5:11" x14ac:dyDescent="0.25">
      <c r="E508" s="5"/>
      <c r="F508" s="5"/>
      <c r="G508" s="7"/>
      <c r="H508" s="7"/>
      <c r="I508" s="5"/>
      <c r="J508" s="5"/>
    </row>
    <row r="509" spans="5:11" x14ac:dyDescent="0.25">
      <c r="E509" s="5"/>
      <c r="F509" s="5"/>
      <c r="G509" s="7"/>
      <c r="H509" s="7"/>
      <c r="I509" s="5"/>
      <c r="J509" s="5"/>
    </row>
    <row r="510" spans="5:11" x14ac:dyDescent="0.25">
      <c r="E510" s="5"/>
      <c r="F510" s="5"/>
      <c r="G510" s="7"/>
      <c r="H510" s="7"/>
      <c r="I510" s="5"/>
      <c r="J510" s="5"/>
    </row>
    <row r="511" spans="5:11" x14ac:dyDescent="0.25">
      <c r="E511" s="5"/>
      <c r="F511" s="5"/>
      <c r="G511" s="7"/>
      <c r="H511" s="7"/>
      <c r="I511" s="5"/>
      <c r="J511" s="5"/>
    </row>
    <row r="512" spans="5:11" x14ac:dyDescent="0.25">
      <c r="E512" s="5"/>
      <c r="F512" s="5"/>
      <c r="G512" s="7"/>
      <c r="H512" s="7"/>
      <c r="I512" s="5"/>
      <c r="J512" s="5"/>
    </row>
    <row r="513" spans="5:10" x14ac:dyDescent="0.25">
      <c r="E513" s="5"/>
      <c r="F513" s="5"/>
      <c r="G513" s="7"/>
      <c r="H513" s="7"/>
      <c r="I513" s="5"/>
      <c r="J513" s="5"/>
    </row>
    <row r="514" spans="5:10" x14ac:dyDescent="0.25">
      <c r="E514" s="5"/>
      <c r="F514" s="5"/>
      <c r="G514" s="7"/>
      <c r="H514" s="7"/>
      <c r="I514" s="5"/>
      <c r="J514" s="5"/>
    </row>
    <row r="515" spans="5:10" x14ac:dyDescent="0.25">
      <c r="E515" s="5"/>
      <c r="F515" s="5"/>
      <c r="G515" s="7"/>
      <c r="H515" s="7"/>
      <c r="I515" s="5"/>
      <c r="J515" s="5"/>
    </row>
    <row r="516" spans="5:10" x14ac:dyDescent="0.25">
      <c r="E516" s="5"/>
      <c r="F516" s="5"/>
      <c r="G516" s="7"/>
      <c r="H516" s="7"/>
      <c r="I516" s="5"/>
      <c r="J516" s="5"/>
    </row>
    <row r="517" spans="5:10" x14ac:dyDescent="0.25">
      <c r="E517" s="5"/>
      <c r="F517" s="5"/>
      <c r="G517" s="7"/>
      <c r="H517" s="7"/>
      <c r="I517" s="5"/>
      <c r="J517" s="5"/>
    </row>
    <row r="518" spans="5:10" x14ac:dyDescent="0.25">
      <c r="E518" s="5"/>
      <c r="F518" s="5"/>
      <c r="G518" s="7"/>
      <c r="H518" s="7"/>
      <c r="I518" s="5"/>
      <c r="J518" s="5"/>
    </row>
    <row r="519" spans="5:10" x14ac:dyDescent="0.25">
      <c r="E519" s="5"/>
      <c r="F519" s="5"/>
      <c r="G519" s="7"/>
      <c r="H519" s="7"/>
      <c r="I519" s="5"/>
      <c r="J519" s="5"/>
    </row>
    <row r="520" spans="5:10" x14ac:dyDescent="0.25">
      <c r="E520" s="5"/>
      <c r="F520" s="5"/>
      <c r="G520" s="7"/>
      <c r="H520" s="7"/>
      <c r="I520" s="5"/>
      <c r="J520" s="5"/>
    </row>
    <row r="521" spans="5:10" x14ac:dyDescent="0.25">
      <c r="E521" s="5"/>
      <c r="F521" s="5"/>
      <c r="G521" s="7"/>
      <c r="H521" s="7"/>
      <c r="I521" s="5"/>
      <c r="J521" s="5"/>
    </row>
    <row r="522" spans="5:10" x14ac:dyDescent="0.25">
      <c r="E522" s="5"/>
      <c r="F522" s="5"/>
      <c r="G522" s="7"/>
      <c r="H522" s="7"/>
      <c r="I522" s="5"/>
      <c r="J522" s="5"/>
    </row>
    <row r="523" spans="5:10" x14ac:dyDescent="0.25">
      <c r="E523" s="5"/>
      <c r="F523" s="5"/>
      <c r="G523" s="7"/>
      <c r="H523" s="7"/>
      <c r="I523" s="5"/>
      <c r="J523" s="5"/>
    </row>
    <row r="524" spans="5:10" x14ac:dyDescent="0.25">
      <c r="E524" s="5"/>
      <c r="F524" s="5"/>
      <c r="G524" s="7"/>
      <c r="H524" s="7"/>
      <c r="I524" s="5"/>
      <c r="J524" s="5"/>
    </row>
    <row r="525" spans="5:10" x14ac:dyDescent="0.25">
      <c r="E525" s="5"/>
      <c r="F525" s="5"/>
      <c r="G525" s="7"/>
      <c r="H525" s="7"/>
      <c r="I525" s="5"/>
      <c r="J525" s="5"/>
    </row>
    <row r="526" spans="5:10" x14ac:dyDescent="0.25">
      <c r="E526" s="5"/>
      <c r="F526" s="5"/>
      <c r="G526" s="7"/>
      <c r="H526" s="7"/>
      <c r="I526" s="5"/>
      <c r="J526" s="5"/>
    </row>
    <row r="527" spans="5:10" x14ac:dyDescent="0.25">
      <c r="E527" s="5"/>
      <c r="F527" s="5"/>
      <c r="G527" s="7"/>
      <c r="H527" s="7"/>
      <c r="I527" s="5"/>
      <c r="J527" s="5"/>
    </row>
    <row r="528" spans="5:10" x14ac:dyDescent="0.25">
      <c r="E528" s="5"/>
      <c r="F528" s="5"/>
      <c r="G528" s="7"/>
      <c r="H528" s="7"/>
      <c r="I528" s="5"/>
      <c r="J528" s="5"/>
    </row>
    <row r="529" spans="5:10" x14ac:dyDescent="0.25">
      <c r="E529" s="5"/>
      <c r="F529" s="5"/>
      <c r="G529" s="7"/>
      <c r="H529" s="7"/>
      <c r="I529" s="5"/>
      <c r="J529" s="5"/>
    </row>
    <row r="530" spans="5:10" x14ac:dyDescent="0.25">
      <c r="E530" s="5"/>
      <c r="F530" s="5"/>
      <c r="G530" s="7"/>
      <c r="H530" s="7"/>
      <c r="I530" s="5"/>
      <c r="J530" s="5"/>
    </row>
    <row r="531" spans="5:10" x14ac:dyDescent="0.25">
      <c r="E531" s="5"/>
      <c r="F531" s="5"/>
      <c r="G531" s="7"/>
      <c r="H531" s="7"/>
      <c r="I531" s="5"/>
      <c r="J531" s="5"/>
    </row>
    <row r="532" spans="5:10" x14ac:dyDescent="0.25">
      <c r="E532" s="5"/>
      <c r="F532" s="5"/>
      <c r="G532" s="7"/>
      <c r="H532" s="7"/>
      <c r="I532" s="5"/>
      <c r="J532" s="5"/>
    </row>
    <row r="533" spans="5:10" x14ac:dyDescent="0.25">
      <c r="E533" s="5"/>
      <c r="F533" s="5"/>
      <c r="G533" s="7"/>
      <c r="H533" s="7"/>
      <c r="I533" s="5"/>
      <c r="J533" s="5"/>
    </row>
    <row r="534" spans="5:10" x14ac:dyDescent="0.25">
      <c r="E534" s="5"/>
      <c r="F534" s="5"/>
      <c r="G534" s="7"/>
      <c r="H534" s="7"/>
      <c r="I534" s="5"/>
      <c r="J534" s="5"/>
    </row>
    <row r="535" spans="5:10" x14ac:dyDescent="0.25">
      <c r="E535" s="5"/>
      <c r="F535" s="5"/>
      <c r="G535" s="7"/>
      <c r="H535" s="7"/>
      <c r="I535" s="5"/>
      <c r="J535" s="5"/>
    </row>
    <row r="536" spans="5:10" x14ac:dyDescent="0.25">
      <c r="E536" s="5"/>
      <c r="F536" s="5"/>
      <c r="G536" s="7"/>
      <c r="H536" s="7"/>
      <c r="I536" s="5"/>
      <c r="J536" s="5"/>
    </row>
    <row r="537" spans="5:10" x14ac:dyDescent="0.25">
      <c r="E537" s="5"/>
      <c r="F537" s="5"/>
      <c r="G537" s="7"/>
      <c r="H537" s="7"/>
      <c r="I537" s="5"/>
      <c r="J537" s="5"/>
    </row>
    <row r="538" spans="5:10" x14ac:dyDescent="0.25">
      <c r="E538" s="5"/>
      <c r="F538" s="5"/>
      <c r="G538" s="7"/>
      <c r="H538" s="7"/>
      <c r="I538" s="5"/>
      <c r="J538" s="5"/>
    </row>
    <row r="539" spans="5:10" x14ac:dyDescent="0.25">
      <c r="E539" s="5"/>
      <c r="F539" s="5"/>
      <c r="G539" s="7"/>
      <c r="H539" s="7"/>
      <c r="I539" s="5"/>
      <c r="J539" s="5"/>
    </row>
    <row r="540" spans="5:10" x14ac:dyDescent="0.25">
      <c r="E540" s="5"/>
      <c r="F540" s="5"/>
      <c r="G540" s="7"/>
      <c r="H540" s="7"/>
      <c r="I540" s="5"/>
      <c r="J540" s="5"/>
    </row>
    <row r="541" spans="5:10" x14ac:dyDescent="0.25">
      <c r="E541" s="5"/>
      <c r="F541" s="5"/>
      <c r="G541" s="7"/>
      <c r="H541" s="7"/>
      <c r="I541" s="5"/>
      <c r="J541" s="5"/>
    </row>
    <row r="542" spans="5:10" x14ac:dyDescent="0.25">
      <c r="E542" s="5"/>
      <c r="F542" s="5"/>
      <c r="G542" s="7"/>
      <c r="H542" s="7"/>
      <c r="I542" s="5"/>
      <c r="J542" s="5"/>
    </row>
    <row r="543" spans="5:10" x14ac:dyDescent="0.25">
      <c r="E543" s="5"/>
      <c r="F543" s="5"/>
      <c r="G543" s="7"/>
      <c r="H543" s="7"/>
      <c r="I543" s="5"/>
      <c r="J543" s="5"/>
    </row>
    <row r="544" spans="5:10" x14ac:dyDescent="0.25">
      <c r="E544" s="5"/>
      <c r="F544" s="5"/>
      <c r="G544" s="7"/>
      <c r="H544" s="7"/>
      <c r="I544" s="5"/>
      <c r="J544" s="5"/>
    </row>
    <row r="545" spans="5:10" x14ac:dyDescent="0.25">
      <c r="E545" s="5"/>
      <c r="F545" s="5"/>
      <c r="G545" s="7"/>
      <c r="H545" s="7"/>
      <c r="I545" s="5"/>
      <c r="J545" s="5"/>
    </row>
    <row r="546" spans="5:10" x14ac:dyDescent="0.25">
      <c r="E546" s="5"/>
      <c r="F546" s="5"/>
      <c r="G546" s="7"/>
      <c r="H546" s="7"/>
      <c r="I546" s="5"/>
      <c r="J546" s="5"/>
    </row>
    <row r="547" spans="5:10" x14ac:dyDescent="0.25">
      <c r="E547" s="5"/>
      <c r="F547" s="5"/>
      <c r="G547" s="7"/>
      <c r="H547" s="7"/>
      <c r="I547" s="5"/>
      <c r="J547" s="5"/>
    </row>
    <row r="548" spans="5:10" x14ac:dyDescent="0.25">
      <c r="E548" s="5"/>
      <c r="F548" s="5"/>
      <c r="G548" s="7"/>
      <c r="H548" s="7"/>
      <c r="I548" s="5"/>
      <c r="J548" s="5"/>
    </row>
    <row r="549" spans="5:10" x14ac:dyDescent="0.25">
      <c r="E549" s="5"/>
      <c r="F549" s="5"/>
      <c r="G549" s="7"/>
      <c r="H549" s="7"/>
      <c r="I549" s="5"/>
      <c r="J549" s="5"/>
    </row>
    <row r="550" spans="5:10" x14ac:dyDescent="0.25">
      <c r="E550" s="5"/>
      <c r="F550" s="5"/>
      <c r="G550" s="7"/>
      <c r="H550" s="7"/>
      <c r="I550" s="5"/>
      <c r="J550" s="5"/>
    </row>
    <row r="551" spans="5:10" x14ac:dyDescent="0.25">
      <c r="E551" s="5"/>
      <c r="F551" s="5"/>
      <c r="G551" s="7"/>
      <c r="H551" s="7"/>
      <c r="I551" s="5"/>
      <c r="J551" s="5"/>
    </row>
    <row r="552" spans="5:10" x14ac:dyDescent="0.25">
      <c r="E552" s="5"/>
      <c r="F552" s="5"/>
      <c r="G552" s="7"/>
      <c r="H552" s="7"/>
      <c r="I552" s="5"/>
      <c r="J552" s="5"/>
    </row>
    <row r="553" spans="5:10" x14ac:dyDescent="0.25">
      <c r="E553" s="5"/>
      <c r="F553" s="5"/>
      <c r="G553" s="7"/>
      <c r="H553" s="7"/>
      <c r="I553" s="5"/>
      <c r="J553" s="5"/>
    </row>
    <row r="554" spans="5:10" x14ac:dyDescent="0.25">
      <c r="E554" s="5"/>
      <c r="F554" s="5"/>
      <c r="G554" s="7"/>
      <c r="H554" s="7"/>
      <c r="I554" s="5"/>
      <c r="J554" s="5"/>
    </row>
    <row r="555" spans="5:10" x14ac:dyDescent="0.25">
      <c r="E555" s="5"/>
      <c r="F555" s="5"/>
      <c r="G555" s="7"/>
      <c r="H555" s="7"/>
      <c r="I555" s="5"/>
      <c r="J555" s="5"/>
    </row>
    <row r="556" spans="5:10" x14ac:dyDescent="0.25">
      <c r="E556" s="5"/>
      <c r="F556" s="5"/>
      <c r="G556" s="7"/>
      <c r="H556" s="7"/>
      <c r="I556" s="5"/>
      <c r="J556" s="5"/>
    </row>
    <row r="557" spans="5:10" x14ac:dyDescent="0.25">
      <c r="E557" s="5"/>
      <c r="F557" s="5"/>
      <c r="G557" s="7"/>
      <c r="H557" s="7"/>
      <c r="I557" s="5"/>
      <c r="J557" s="5"/>
    </row>
    <row r="558" spans="5:10" x14ac:dyDescent="0.25">
      <c r="E558" s="5"/>
      <c r="F558" s="5"/>
      <c r="G558" s="7"/>
      <c r="H558" s="7"/>
      <c r="I558" s="5"/>
      <c r="J558" s="5"/>
    </row>
    <row r="559" spans="5:10" x14ac:dyDescent="0.25">
      <c r="E559" s="5"/>
      <c r="F559" s="5"/>
      <c r="G559" s="7"/>
      <c r="H559" s="7"/>
      <c r="I559" s="5"/>
      <c r="J559" s="5"/>
    </row>
    <row r="560" spans="5:10" x14ac:dyDescent="0.25">
      <c r="E560" s="5"/>
      <c r="F560" s="5"/>
      <c r="G560" s="7"/>
      <c r="H560" s="7"/>
      <c r="I560" s="5"/>
      <c r="J560" s="5"/>
    </row>
    <row r="561" spans="5:10" x14ac:dyDescent="0.25">
      <c r="E561" s="5"/>
      <c r="F561" s="5"/>
      <c r="G561" s="7"/>
      <c r="H561" s="7"/>
      <c r="I561" s="5"/>
      <c r="J561" s="5"/>
    </row>
    <row r="562" spans="5:10" x14ac:dyDescent="0.25">
      <c r="E562" s="5"/>
      <c r="F562" s="5"/>
      <c r="G562" s="7"/>
      <c r="H562" s="7"/>
      <c r="I562" s="5"/>
      <c r="J562" s="5"/>
    </row>
    <row r="563" spans="5:10" x14ac:dyDescent="0.25">
      <c r="E563" s="5"/>
      <c r="F563" s="5"/>
      <c r="G563" s="7"/>
      <c r="H563" s="7"/>
      <c r="I563" s="5"/>
      <c r="J563" s="5"/>
    </row>
    <row r="564" spans="5:10" x14ac:dyDescent="0.25">
      <c r="E564" s="5"/>
      <c r="F564" s="5"/>
      <c r="G564" s="7"/>
      <c r="H564" s="7"/>
      <c r="I564" s="5"/>
      <c r="J564" s="5"/>
    </row>
    <row r="565" spans="5:10" x14ac:dyDescent="0.25">
      <c r="E565" s="5"/>
      <c r="F565" s="5"/>
      <c r="G565" s="7"/>
      <c r="H565" s="7"/>
      <c r="I565" s="5"/>
      <c r="J565" s="5"/>
    </row>
    <row r="566" spans="5:10" x14ac:dyDescent="0.25">
      <c r="E566" s="5"/>
      <c r="F566" s="5"/>
      <c r="G566" s="7"/>
      <c r="H566" s="7"/>
      <c r="I566" s="5"/>
      <c r="J566" s="5"/>
    </row>
    <row r="567" spans="5:10" x14ac:dyDescent="0.25">
      <c r="E567" s="5"/>
      <c r="F567" s="5"/>
      <c r="G567" s="7"/>
      <c r="H567" s="7"/>
      <c r="I567" s="5"/>
      <c r="J567" s="5"/>
    </row>
    <row r="568" spans="5:10" x14ac:dyDescent="0.25">
      <c r="E568" s="5"/>
      <c r="F568" s="5"/>
      <c r="G568" s="7"/>
      <c r="H568" s="7"/>
      <c r="I568" s="5"/>
      <c r="J568" s="5"/>
    </row>
    <row r="569" spans="5:10" x14ac:dyDescent="0.25">
      <c r="E569" s="5"/>
      <c r="F569" s="5"/>
      <c r="G569" s="7"/>
      <c r="H569" s="7"/>
      <c r="I569" s="5"/>
      <c r="J569" s="5"/>
    </row>
    <row r="570" spans="5:10" x14ac:dyDescent="0.25">
      <c r="E570" s="5"/>
      <c r="F570" s="5"/>
      <c r="G570" s="7"/>
      <c r="H570" s="7"/>
      <c r="I570" s="5"/>
      <c r="J570" s="5"/>
    </row>
    <row r="571" spans="5:10" x14ac:dyDescent="0.25">
      <c r="E571" s="5"/>
      <c r="F571" s="5"/>
      <c r="G571" s="7"/>
      <c r="H571" s="7"/>
      <c r="I571" s="5"/>
      <c r="J571" s="5"/>
    </row>
    <row r="572" spans="5:10" x14ac:dyDescent="0.25">
      <c r="E572" s="5"/>
      <c r="F572" s="5"/>
      <c r="G572" s="7"/>
      <c r="H572" s="7"/>
      <c r="I572" s="5"/>
      <c r="J572" s="5"/>
    </row>
    <row r="573" spans="5:10" x14ac:dyDescent="0.25">
      <c r="E573" s="5"/>
      <c r="F573" s="5"/>
      <c r="G573" s="7"/>
      <c r="H573" s="7"/>
      <c r="I573" s="5"/>
      <c r="J573" s="5"/>
    </row>
    <row r="574" spans="5:10" x14ac:dyDescent="0.25">
      <c r="E574" s="5"/>
      <c r="F574" s="5"/>
      <c r="G574" s="7"/>
      <c r="H574" s="7"/>
      <c r="I574" s="5"/>
      <c r="J574" s="5"/>
    </row>
    <row r="575" spans="5:10" x14ac:dyDescent="0.25">
      <c r="E575" s="5"/>
      <c r="F575" s="5"/>
      <c r="G575" s="7"/>
      <c r="H575" s="7"/>
      <c r="I575" s="5"/>
      <c r="J575" s="5"/>
    </row>
    <row r="576" spans="5:10" x14ac:dyDescent="0.25">
      <c r="E576" s="5"/>
      <c r="F576" s="5"/>
      <c r="G576" s="7"/>
      <c r="H576" s="7"/>
      <c r="I576" s="5"/>
      <c r="J576" s="5"/>
    </row>
    <row r="577" spans="5:10" x14ac:dyDescent="0.25">
      <c r="E577" s="5"/>
      <c r="F577" s="5"/>
      <c r="G577" s="7"/>
      <c r="H577" s="7"/>
      <c r="I577" s="5"/>
      <c r="J577" s="5"/>
    </row>
    <row r="578" spans="5:10" x14ac:dyDescent="0.25">
      <c r="E578" s="5"/>
      <c r="F578" s="5"/>
      <c r="G578" s="7"/>
      <c r="H578" s="7"/>
      <c r="I578" s="5"/>
      <c r="J578" s="5"/>
    </row>
    <row r="579" spans="5:10" x14ac:dyDescent="0.25">
      <c r="E579" s="5"/>
      <c r="F579" s="5"/>
      <c r="G579" s="7"/>
      <c r="H579" s="7"/>
      <c r="I579" s="5"/>
      <c r="J579" s="5"/>
    </row>
    <row r="580" spans="5:10" x14ac:dyDescent="0.25">
      <c r="E580" s="5"/>
      <c r="F580" s="5"/>
      <c r="G580" s="7"/>
      <c r="H580" s="7"/>
      <c r="I580" s="5"/>
      <c r="J580" s="5"/>
    </row>
    <row r="581" spans="5:10" x14ac:dyDescent="0.25">
      <c r="E581" s="5"/>
      <c r="F581" s="5"/>
      <c r="G581" s="7"/>
      <c r="H581" s="7"/>
      <c r="I581" s="5"/>
      <c r="J581" s="5"/>
    </row>
    <row r="582" spans="5:10" x14ac:dyDescent="0.25">
      <c r="E582" s="5"/>
      <c r="F582" s="5"/>
      <c r="G582" s="7"/>
      <c r="H582" s="7"/>
      <c r="I582" s="5"/>
      <c r="J582" s="5"/>
    </row>
    <row r="583" spans="5:10" x14ac:dyDescent="0.25">
      <c r="E583" s="5"/>
      <c r="F583" s="5"/>
      <c r="G583" s="7"/>
      <c r="H583" s="7"/>
      <c r="I583" s="5"/>
      <c r="J583" s="5"/>
    </row>
    <row r="584" spans="5:10" x14ac:dyDescent="0.25">
      <c r="E584" s="5"/>
      <c r="F584" s="5"/>
      <c r="G584" s="7"/>
      <c r="H584" s="7"/>
      <c r="I584" s="5"/>
      <c r="J584" s="5"/>
    </row>
    <row r="585" spans="5:10" x14ac:dyDescent="0.25">
      <c r="E585" s="5"/>
      <c r="F585" s="5"/>
      <c r="G585" s="7"/>
      <c r="H585" s="7"/>
      <c r="I585" s="5"/>
      <c r="J585" s="5"/>
    </row>
    <row r="586" spans="5:10" x14ac:dyDescent="0.25">
      <c r="E586" s="5"/>
      <c r="F586" s="5"/>
      <c r="G586" s="7"/>
      <c r="H586" s="7"/>
      <c r="I586" s="5"/>
      <c r="J586" s="5"/>
    </row>
    <row r="587" spans="5:10" x14ac:dyDescent="0.25">
      <c r="E587" s="5"/>
      <c r="F587" s="5"/>
      <c r="G587" s="7"/>
      <c r="H587" s="7"/>
      <c r="I587" s="5"/>
      <c r="J587" s="5"/>
    </row>
    <row r="588" spans="5:10" x14ac:dyDescent="0.25">
      <c r="E588" s="5"/>
      <c r="F588" s="5"/>
      <c r="G588" s="7"/>
      <c r="H588" s="7"/>
      <c r="I588" s="5"/>
      <c r="J588" s="5"/>
    </row>
    <row r="589" spans="5:10" x14ac:dyDescent="0.25">
      <c r="E589" s="5"/>
      <c r="F589" s="5"/>
      <c r="G589" s="7"/>
      <c r="H589" s="7"/>
      <c r="I589" s="5"/>
      <c r="J589" s="5"/>
    </row>
    <row r="590" spans="5:10" x14ac:dyDescent="0.25">
      <c r="E590" s="5"/>
      <c r="F590" s="5"/>
      <c r="G590" s="7"/>
      <c r="H590" s="7"/>
      <c r="I590" s="5"/>
      <c r="J590" s="5"/>
    </row>
    <row r="591" spans="5:10" x14ac:dyDescent="0.25">
      <c r="E591" s="5"/>
      <c r="F591" s="5"/>
      <c r="G591" s="7"/>
      <c r="H591" s="7"/>
      <c r="I591" s="5"/>
      <c r="J591" s="5"/>
    </row>
    <row r="592" spans="5:10" x14ac:dyDescent="0.25">
      <c r="E592" s="5"/>
      <c r="F592" s="5"/>
      <c r="G592" s="7"/>
      <c r="H592" s="7"/>
      <c r="I592" s="5"/>
      <c r="J592" s="5"/>
    </row>
    <row r="593" spans="5:10" x14ac:dyDescent="0.25">
      <c r="E593" s="5"/>
      <c r="F593" s="5"/>
      <c r="G593" s="7"/>
      <c r="H593" s="7"/>
      <c r="I593" s="5"/>
      <c r="J593" s="5"/>
    </row>
    <row r="594" spans="5:10" x14ac:dyDescent="0.25">
      <c r="E594" s="5"/>
      <c r="F594" s="5"/>
      <c r="G594" s="7"/>
      <c r="H594" s="7"/>
      <c r="I594" s="5"/>
      <c r="J594" s="5"/>
    </row>
    <row r="595" spans="5:10" x14ac:dyDescent="0.25">
      <c r="E595" s="5"/>
      <c r="F595" s="5"/>
      <c r="G595" s="7"/>
      <c r="H595" s="7"/>
      <c r="I595" s="5"/>
      <c r="J595" s="5"/>
    </row>
    <row r="596" spans="5:10" x14ac:dyDescent="0.25">
      <c r="E596" s="5"/>
      <c r="F596" s="5"/>
      <c r="G596" s="7"/>
      <c r="H596" s="7"/>
      <c r="I596" s="5"/>
      <c r="J596" s="5"/>
    </row>
    <row r="597" spans="5:10" x14ac:dyDescent="0.25">
      <c r="E597" s="5"/>
      <c r="F597" s="5"/>
      <c r="G597" s="7"/>
      <c r="H597" s="7"/>
      <c r="I597" s="5"/>
      <c r="J597" s="5"/>
    </row>
    <row r="598" spans="5:10" x14ac:dyDescent="0.25">
      <c r="E598" s="5"/>
      <c r="F598" s="5"/>
      <c r="G598" s="7"/>
      <c r="H598" s="7"/>
      <c r="I598" s="5"/>
      <c r="J598" s="5"/>
    </row>
    <row r="599" spans="5:10" x14ac:dyDescent="0.25">
      <c r="E599" s="5"/>
      <c r="F599" s="5"/>
      <c r="G599" s="7"/>
      <c r="H599" s="7"/>
      <c r="I599" s="5"/>
      <c r="J599" s="5"/>
    </row>
    <row r="600" spans="5:10" x14ac:dyDescent="0.25">
      <c r="E600" s="5"/>
      <c r="F600" s="5"/>
      <c r="G600" s="7"/>
      <c r="H600" s="7"/>
      <c r="I600" s="5"/>
      <c r="J600" s="5"/>
    </row>
    <row r="601" spans="5:10" x14ac:dyDescent="0.25">
      <c r="E601" s="5"/>
      <c r="F601" s="5"/>
      <c r="G601" s="7"/>
      <c r="H601" s="7"/>
      <c r="I601" s="5"/>
      <c r="J601" s="5"/>
    </row>
    <row r="602" spans="5:10" x14ac:dyDescent="0.25">
      <c r="E602" s="5"/>
      <c r="F602" s="5"/>
      <c r="G602" s="7"/>
      <c r="H602" s="7"/>
      <c r="I602" s="5"/>
      <c r="J602" s="5"/>
    </row>
    <row r="603" spans="5:10" x14ac:dyDescent="0.25">
      <c r="E603" s="5"/>
      <c r="F603" s="5"/>
      <c r="G603" s="7"/>
      <c r="H603" s="7"/>
      <c r="I603" s="5"/>
      <c r="J603" s="5"/>
    </row>
    <row r="604" spans="5:10" x14ac:dyDescent="0.25">
      <c r="E604" s="5"/>
      <c r="F604" s="5"/>
      <c r="G604" s="7"/>
      <c r="H604" s="7"/>
      <c r="I604" s="5"/>
      <c r="J604" s="5"/>
    </row>
    <row r="605" spans="5:10" x14ac:dyDescent="0.25">
      <c r="E605" s="5"/>
      <c r="F605" s="5"/>
      <c r="G605" s="7"/>
      <c r="H605" s="7"/>
      <c r="I605" s="5"/>
      <c r="J605" s="5"/>
    </row>
    <row r="606" spans="5:10" x14ac:dyDescent="0.25">
      <c r="E606" s="5"/>
      <c r="F606" s="5"/>
      <c r="G606" s="7"/>
      <c r="H606" s="7"/>
      <c r="I606" s="5"/>
      <c r="J606" s="5"/>
    </row>
    <row r="607" spans="5:10" x14ac:dyDescent="0.25">
      <c r="E607" s="5"/>
      <c r="F607" s="5"/>
      <c r="G607" s="7"/>
      <c r="H607" s="7"/>
      <c r="I607" s="5"/>
      <c r="J607" s="5"/>
    </row>
    <row r="608" spans="5:10" x14ac:dyDescent="0.25">
      <c r="E608" s="5"/>
      <c r="F608" s="5"/>
      <c r="G608" s="7"/>
      <c r="H608" s="7"/>
      <c r="I608" s="5"/>
      <c r="J608" s="5"/>
    </row>
    <row r="609" spans="7:10" x14ac:dyDescent="0.25">
      <c r="G609" s="7"/>
      <c r="H609" s="7"/>
      <c r="I609" s="5"/>
      <c r="J609" s="5"/>
    </row>
    <row r="610" spans="7:10" x14ac:dyDescent="0.25">
      <c r="G610" s="7"/>
      <c r="H610" s="7"/>
      <c r="I610" s="5"/>
      <c r="J610" s="5"/>
    </row>
    <row r="611" spans="7:10" x14ac:dyDescent="0.25">
      <c r="G611" s="7"/>
      <c r="H611" s="7"/>
      <c r="I611" s="5"/>
      <c r="J611" s="5"/>
    </row>
    <row r="612" spans="7:10" x14ac:dyDescent="0.25">
      <c r="G612" s="7"/>
      <c r="H612" s="7"/>
      <c r="I612" s="5"/>
      <c r="J612" s="5"/>
    </row>
    <row r="613" spans="7:10" x14ac:dyDescent="0.25">
      <c r="G613" s="7"/>
      <c r="H613" s="7"/>
      <c r="I613" s="5"/>
      <c r="J613" s="5"/>
    </row>
    <row r="614" spans="7:10" x14ac:dyDescent="0.25">
      <c r="G614" s="7"/>
      <c r="H614" s="7"/>
      <c r="I614" s="5"/>
      <c r="J614" s="5"/>
    </row>
    <row r="615" spans="7:10" x14ac:dyDescent="0.25">
      <c r="G615" s="7"/>
      <c r="H615" s="7"/>
      <c r="I615" s="5"/>
      <c r="J615" s="5"/>
    </row>
    <row r="616" spans="7:10" x14ac:dyDescent="0.25">
      <c r="G616" s="7"/>
      <c r="H616" s="7"/>
      <c r="I616" s="5"/>
      <c r="J616" s="5"/>
    </row>
    <row r="617" spans="7:10" x14ac:dyDescent="0.25">
      <c r="G617" s="7"/>
      <c r="H617" s="7"/>
      <c r="I617" s="5"/>
      <c r="J617" s="5"/>
    </row>
    <row r="618" spans="7:10" x14ac:dyDescent="0.25">
      <c r="G618" s="7"/>
      <c r="H618" s="7"/>
      <c r="I618" s="5"/>
      <c r="J618" s="5"/>
    </row>
    <row r="619" spans="7:10" x14ac:dyDescent="0.25">
      <c r="G619" s="7"/>
      <c r="H619" s="7"/>
      <c r="I619" s="5"/>
      <c r="J619" s="5"/>
    </row>
    <row r="620" spans="7:10" x14ac:dyDescent="0.25">
      <c r="G620" s="7"/>
      <c r="H620" s="7"/>
      <c r="I620" s="5"/>
      <c r="J620" s="5"/>
    </row>
    <row r="621" spans="7:10" x14ac:dyDescent="0.25">
      <c r="G621" s="7"/>
      <c r="H621" s="7"/>
      <c r="I621" s="5"/>
      <c r="J621" s="5"/>
    </row>
    <row r="622" spans="7:10" x14ac:dyDescent="0.25">
      <c r="G622" s="7"/>
      <c r="H622" s="7"/>
      <c r="I622" s="5"/>
      <c r="J622" s="5"/>
    </row>
    <row r="623" spans="7:10" x14ac:dyDescent="0.25">
      <c r="G623" s="7"/>
      <c r="H623" s="7"/>
      <c r="I623" s="5"/>
      <c r="J623" s="5"/>
    </row>
    <row r="624" spans="7:10" x14ac:dyDescent="0.25">
      <c r="G624" s="7"/>
      <c r="H624" s="7"/>
      <c r="I624" s="5"/>
      <c r="J624" s="5"/>
    </row>
    <row r="625" spans="7:10" x14ac:dyDescent="0.25">
      <c r="G625" s="7"/>
      <c r="H625" s="7"/>
      <c r="I625" s="5"/>
      <c r="J625" s="5"/>
    </row>
    <row r="626" spans="7:10" x14ac:dyDescent="0.25">
      <c r="G626" s="7"/>
      <c r="H626" s="7"/>
      <c r="I626" s="5"/>
      <c r="J626" s="5"/>
    </row>
    <row r="627" spans="7:10" x14ac:dyDescent="0.25">
      <c r="G627" s="7"/>
      <c r="H627" s="7"/>
      <c r="I627" s="5"/>
      <c r="J627" s="5"/>
    </row>
    <row r="628" spans="7:10" x14ac:dyDescent="0.25">
      <c r="G628" s="7"/>
      <c r="H628" s="7"/>
      <c r="I628" s="5"/>
      <c r="J628" s="5"/>
    </row>
    <row r="629" spans="7:10" x14ac:dyDescent="0.25">
      <c r="G629" s="7"/>
      <c r="H629" s="7"/>
      <c r="I629" s="5"/>
      <c r="J629" s="5"/>
    </row>
    <row r="630" spans="7:10" x14ac:dyDescent="0.25">
      <c r="G630" s="7"/>
      <c r="H630" s="7"/>
      <c r="I630" s="5"/>
      <c r="J630" s="5"/>
    </row>
    <row r="631" spans="7:10" x14ac:dyDescent="0.25">
      <c r="G631" s="7"/>
      <c r="H631" s="7"/>
      <c r="I631" s="5"/>
      <c r="J631" s="5"/>
    </row>
    <row r="632" spans="7:10" x14ac:dyDescent="0.25">
      <c r="G632" s="7"/>
      <c r="H632" s="7"/>
      <c r="I632" s="5"/>
      <c r="J632" s="5"/>
    </row>
    <row r="633" spans="7:10" x14ac:dyDescent="0.25">
      <c r="G633" s="7"/>
      <c r="H633" s="7"/>
      <c r="I633" s="5"/>
      <c r="J633" s="5"/>
    </row>
    <row r="634" spans="7:10" x14ac:dyDescent="0.25">
      <c r="G634" s="7"/>
      <c r="H634" s="7"/>
      <c r="I634" s="5"/>
      <c r="J634" s="5"/>
    </row>
    <row r="635" spans="7:10" x14ac:dyDescent="0.25">
      <c r="G635" s="7"/>
      <c r="H635" s="7"/>
      <c r="I635" s="5"/>
      <c r="J635" s="5"/>
    </row>
    <row r="636" spans="7:10" x14ac:dyDescent="0.25">
      <c r="G636" s="7"/>
      <c r="H636" s="7"/>
      <c r="I636" s="5"/>
      <c r="J636" s="5"/>
    </row>
    <row r="637" spans="7:10" x14ac:dyDescent="0.25">
      <c r="G637" s="7"/>
      <c r="H637" s="7"/>
      <c r="I637" s="5"/>
      <c r="J637" s="5"/>
    </row>
    <row r="638" spans="7:10" x14ac:dyDescent="0.25">
      <c r="G638" s="7"/>
      <c r="H638" s="7"/>
      <c r="I638" s="5"/>
      <c r="J638" s="5"/>
    </row>
    <row r="639" spans="7:10" x14ac:dyDescent="0.25">
      <c r="G639" s="7"/>
      <c r="H639" s="7"/>
      <c r="I639" s="5"/>
      <c r="J639" s="5"/>
    </row>
    <row r="640" spans="7:10" x14ac:dyDescent="0.25">
      <c r="G640" s="7"/>
      <c r="H640" s="7"/>
      <c r="I640" s="5"/>
      <c r="J640" s="5"/>
    </row>
    <row r="641" spans="7:10" x14ac:dyDescent="0.25">
      <c r="G641" s="7"/>
      <c r="H641" s="7"/>
      <c r="I641" s="5"/>
      <c r="J641" s="5"/>
    </row>
    <row r="642" spans="7:10" x14ac:dyDescent="0.25">
      <c r="G642" s="7"/>
      <c r="H642" s="7"/>
      <c r="I642" s="5"/>
      <c r="J642" s="5"/>
    </row>
    <row r="643" spans="7:10" x14ac:dyDescent="0.25">
      <c r="G643" s="7"/>
      <c r="H643" s="7"/>
      <c r="I643" s="5"/>
      <c r="J643" s="5"/>
    </row>
    <row r="644" spans="7:10" x14ac:dyDescent="0.25">
      <c r="G644" s="7"/>
      <c r="H644" s="7"/>
      <c r="I644" s="5"/>
      <c r="J644" s="5"/>
    </row>
    <row r="645" spans="7:10" x14ac:dyDescent="0.25">
      <c r="G645" s="7"/>
      <c r="H645" s="7"/>
      <c r="I645" s="5"/>
      <c r="J645" s="5"/>
    </row>
    <row r="646" spans="7:10" x14ac:dyDescent="0.25">
      <c r="G646" s="7"/>
      <c r="H646" s="7"/>
      <c r="I646" s="5"/>
      <c r="J646" s="5"/>
    </row>
    <row r="647" spans="7:10" x14ac:dyDescent="0.25">
      <c r="G647" s="7"/>
      <c r="H647" s="7"/>
      <c r="I647" s="5"/>
      <c r="J647" s="5"/>
    </row>
    <row r="648" spans="7:10" x14ac:dyDescent="0.25">
      <c r="G648" s="7"/>
      <c r="H648" s="7"/>
      <c r="I648" s="5"/>
      <c r="J648" s="5"/>
    </row>
    <row r="649" spans="7:10" x14ac:dyDescent="0.25">
      <c r="G649" s="7"/>
      <c r="H649" s="7"/>
      <c r="I649" s="5"/>
      <c r="J649" s="5"/>
    </row>
    <row r="650" spans="7:10" x14ac:dyDescent="0.25">
      <c r="G650" s="7"/>
      <c r="H650" s="7"/>
      <c r="I650" s="5"/>
      <c r="J650" s="5"/>
    </row>
    <row r="651" spans="7:10" x14ac:dyDescent="0.25">
      <c r="G651" s="7"/>
      <c r="H651" s="7"/>
      <c r="I651" s="5"/>
      <c r="J651" s="5"/>
    </row>
    <row r="652" spans="7:10" x14ac:dyDescent="0.25">
      <c r="G652" s="7"/>
      <c r="H652" s="7"/>
      <c r="I652" s="5"/>
      <c r="J652" s="5"/>
    </row>
    <row r="653" spans="7:10" x14ac:dyDescent="0.25">
      <c r="G653" s="7"/>
      <c r="H653" s="7"/>
      <c r="I653" s="5"/>
      <c r="J653" s="5"/>
    </row>
    <row r="654" spans="7:10" x14ac:dyDescent="0.25">
      <c r="G654" s="7"/>
      <c r="H654" s="7"/>
      <c r="I654" s="5"/>
      <c r="J654" s="5"/>
    </row>
    <row r="655" spans="7:10" x14ac:dyDescent="0.25">
      <c r="G655" s="7"/>
      <c r="H655" s="7"/>
      <c r="I655" s="5"/>
      <c r="J655" s="5"/>
    </row>
    <row r="656" spans="7:10" x14ac:dyDescent="0.25">
      <c r="G656" s="7"/>
      <c r="H656" s="7"/>
      <c r="I656" s="5"/>
      <c r="J656" s="5"/>
    </row>
    <row r="657" spans="7:10" x14ac:dyDescent="0.25">
      <c r="G657" s="7"/>
      <c r="H657" s="7"/>
      <c r="I657" s="5"/>
      <c r="J657" s="5"/>
    </row>
    <row r="658" spans="7:10" x14ac:dyDescent="0.25">
      <c r="G658" s="7"/>
      <c r="H658" s="7"/>
      <c r="I658" s="5"/>
      <c r="J658" s="5"/>
    </row>
    <row r="659" spans="7:10" x14ac:dyDescent="0.25">
      <c r="G659" s="7"/>
      <c r="H659" s="7"/>
      <c r="I659" s="5"/>
      <c r="J659" s="5"/>
    </row>
    <row r="660" spans="7:10" x14ac:dyDescent="0.25">
      <c r="G660" s="7"/>
      <c r="H660" s="7"/>
      <c r="I660" s="5"/>
      <c r="J660" s="5"/>
    </row>
    <row r="661" spans="7:10" x14ac:dyDescent="0.25">
      <c r="G661" s="7"/>
      <c r="H661" s="7"/>
      <c r="I661" s="5"/>
      <c r="J661" s="5"/>
    </row>
    <row r="662" spans="7:10" x14ac:dyDescent="0.25">
      <c r="G662" s="7"/>
      <c r="H662" s="7"/>
      <c r="I662" s="5"/>
      <c r="J662" s="5"/>
    </row>
    <row r="663" spans="7:10" x14ac:dyDescent="0.25">
      <c r="G663" s="7"/>
      <c r="H663" s="7"/>
      <c r="I663" s="5"/>
      <c r="J663" s="5"/>
    </row>
    <row r="664" spans="7:10" x14ac:dyDescent="0.25">
      <c r="G664" s="7"/>
      <c r="H664" s="7"/>
      <c r="I664" s="5"/>
      <c r="J664" s="5"/>
    </row>
    <row r="665" spans="7:10" x14ac:dyDescent="0.25">
      <c r="G665" s="7"/>
      <c r="H665" s="7"/>
      <c r="I665" s="5"/>
      <c r="J665" s="5"/>
    </row>
    <row r="666" spans="7:10" x14ac:dyDescent="0.25">
      <c r="G666" s="7"/>
      <c r="H666" s="7"/>
      <c r="I666" s="5"/>
      <c r="J666" s="5"/>
    </row>
    <row r="667" spans="7:10" x14ac:dyDescent="0.25">
      <c r="G667" s="7"/>
      <c r="H667" s="7"/>
      <c r="I667" s="5"/>
      <c r="J667" s="5"/>
    </row>
    <row r="668" spans="7:10" x14ac:dyDescent="0.25">
      <c r="G668" s="7"/>
      <c r="H668" s="7"/>
      <c r="I668" s="5"/>
      <c r="J668" s="5"/>
    </row>
    <row r="669" spans="7:10" x14ac:dyDescent="0.25">
      <c r="G669" s="7"/>
      <c r="H669" s="7"/>
      <c r="I669" s="5"/>
      <c r="J669" s="5"/>
    </row>
    <row r="670" spans="7:10" x14ac:dyDescent="0.25">
      <c r="G670" s="7"/>
      <c r="H670" s="7"/>
      <c r="I670" s="5"/>
      <c r="J670" s="5"/>
    </row>
    <row r="671" spans="7:10" x14ac:dyDescent="0.25">
      <c r="G671" s="7"/>
      <c r="H671" s="7"/>
      <c r="I671" s="5"/>
      <c r="J671" s="5"/>
    </row>
    <row r="672" spans="7:10" x14ac:dyDescent="0.25">
      <c r="G672" s="7"/>
      <c r="H672" s="7"/>
      <c r="I672" s="5"/>
      <c r="J672" s="5"/>
    </row>
    <row r="673" spans="7:10" x14ac:dyDescent="0.25">
      <c r="G673" s="7"/>
      <c r="H673" s="7"/>
      <c r="I673" s="5"/>
      <c r="J673" s="5"/>
    </row>
    <row r="674" spans="7:10" x14ac:dyDescent="0.25">
      <c r="G674" s="7"/>
      <c r="H674" s="7"/>
      <c r="I674" s="5"/>
      <c r="J674" s="5"/>
    </row>
    <row r="675" spans="7:10" x14ac:dyDescent="0.25">
      <c r="G675" s="7"/>
      <c r="H675" s="7"/>
      <c r="I675" s="5"/>
      <c r="J675" s="5"/>
    </row>
    <row r="676" spans="7:10" x14ac:dyDescent="0.25">
      <c r="G676" s="7"/>
      <c r="H676" s="7"/>
      <c r="I676" s="5"/>
      <c r="J676" s="5"/>
    </row>
    <row r="677" spans="7:10" x14ac:dyDescent="0.25">
      <c r="G677" s="7"/>
      <c r="H677" s="7"/>
      <c r="I677" s="5"/>
      <c r="J677" s="5"/>
    </row>
    <row r="678" spans="7:10" x14ac:dyDescent="0.25">
      <c r="G678" s="7"/>
      <c r="H678" s="7"/>
      <c r="I678" s="5"/>
      <c r="J678" s="5"/>
    </row>
    <row r="679" spans="7:10" x14ac:dyDescent="0.25">
      <c r="G679" s="7"/>
      <c r="H679" s="7"/>
      <c r="I679" s="5"/>
      <c r="J679" s="5"/>
    </row>
    <row r="680" spans="7:10" x14ac:dyDescent="0.25">
      <c r="G680" s="7"/>
      <c r="H680" s="7"/>
      <c r="I680" s="5"/>
      <c r="J680" s="5"/>
    </row>
    <row r="681" spans="7:10" x14ac:dyDescent="0.25">
      <c r="G681" s="7"/>
      <c r="H681" s="7"/>
      <c r="I681" s="5"/>
      <c r="J681" s="5"/>
    </row>
    <row r="682" spans="7:10" x14ac:dyDescent="0.25">
      <c r="G682" s="7"/>
      <c r="H682" s="7"/>
      <c r="I682" s="5"/>
      <c r="J682" s="5"/>
    </row>
    <row r="683" spans="7:10" x14ac:dyDescent="0.25">
      <c r="G683" s="7"/>
      <c r="H683" s="7"/>
      <c r="I683" s="5"/>
      <c r="J683" s="5"/>
    </row>
    <row r="684" spans="7:10" x14ac:dyDescent="0.25">
      <c r="G684" s="7"/>
      <c r="H684" s="7"/>
      <c r="I684" s="5"/>
      <c r="J684" s="5"/>
    </row>
    <row r="685" spans="7:10" x14ac:dyDescent="0.25">
      <c r="G685" s="7"/>
      <c r="H685" s="7"/>
      <c r="I685" s="5"/>
      <c r="J685" s="5"/>
    </row>
    <row r="686" spans="7:10" x14ac:dyDescent="0.25">
      <c r="G686" s="7"/>
      <c r="H686" s="7"/>
      <c r="I686" s="5"/>
      <c r="J686" s="5"/>
    </row>
    <row r="687" spans="7:10" x14ac:dyDescent="0.25">
      <c r="G687" s="7"/>
      <c r="H687" s="7"/>
      <c r="I687" s="5"/>
      <c r="J687" s="5"/>
    </row>
    <row r="688" spans="7:10" x14ac:dyDescent="0.25">
      <c r="G688" s="7"/>
      <c r="H688" s="7"/>
      <c r="I688" s="5"/>
      <c r="J688" s="5"/>
    </row>
    <row r="689" spans="7:10" x14ac:dyDescent="0.25">
      <c r="G689" s="7"/>
      <c r="H689" s="7"/>
      <c r="I689" s="5"/>
      <c r="J689" s="5"/>
    </row>
    <row r="690" spans="7:10" x14ac:dyDescent="0.25">
      <c r="G690" s="7"/>
      <c r="H690" s="7"/>
      <c r="I690" s="5"/>
      <c r="J690" s="5"/>
    </row>
    <row r="691" spans="7:10" x14ac:dyDescent="0.25">
      <c r="G691" s="7"/>
      <c r="H691" s="7"/>
      <c r="I691" s="5"/>
      <c r="J691" s="5"/>
    </row>
    <row r="692" spans="7:10" x14ac:dyDescent="0.25">
      <c r="G692" s="7"/>
      <c r="H692" s="7"/>
      <c r="I692" s="5"/>
      <c r="J692" s="5"/>
    </row>
    <row r="693" spans="7:10" x14ac:dyDescent="0.25">
      <c r="G693" s="7"/>
      <c r="H693" s="7"/>
      <c r="I693" s="5"/>
      <c r="J693" s="5"/>
    </row>
    <row r="694" spans="7:10" x14ac:dyDescent="0.25">
      <c r="G694" s="7"/>
      <c r="H694" s="7"/>
      <c r="I694" s="5"/>
      <c r="J694" s="5"/>
    </row>
    <row r="695" spans="7:10" x14ac:dyDescent="0.25">
      <c r="G695" s="7"/>
      <c r="H695" s="7"/>
      <c r="I695" s="5"/>
      <c r="J695" s="5"/>
    </row>
    <row r="696" spans="7:10" x14ac:dyDescent="0.25">
      <c r="G696" s="7"/>
      <c r="H696" s="7"/>
      <c r="I696" s="5"/>
      <c r="J696" s="5"/>
    </row>
    <row r="697" spans="7:10" x14ac:dyDescent="0.25">
      <c r="G697" s="7"/>
      <c r="H697" s="7"/>
      <c r="I697" s="5"/>
      <c r="J697" s="5"/>
    </row>
    <row r="698" spans="7:10" x14ac:dyDescent="0.25">
      <c r="G698" s="7"/>
      <c r="H698" s="7"/>
      <c r="I698" s="5"/>
      <c r="J698" s="5"/>
    </row>
    <row r="699" spans="7:10" x14ac:dyDescent="0.25">
      <c r="G699" s="7"/>
      <c r="H699" s="7"/>
      <c r="I699" s="5"/>
      <c r="J699" s="5"/>
    </row>
    <row r="700" spans="7:10" x14ac:dyDescent="0.25">
      <c r="G700" s="7"/>
      <c r="H700" s="7"/>
      <c r="I700" s="5"/>
      <c r="J700" s="5"/>
    </row>
    <row r="701" spans="7:10" x14ac:dyDescent="0.25">
      <c r="G701" s="7"/>
      <c r="H701" s="7"/>
      <c r="I701" s="5"/>
      <c r="J701" s="5"/>
    </row>
    <row r="702" spans="7:10" x14ac:dyDescent="0.25">
      <c r="G702" s="7"/>
      <c r="H702" s="7"/>
      <c r="I702" s="5"/>
      <c r="J702" s="5"/>
    </row>
    <row r="703" spans="7:10" x14ac:dyDescent="0.25">
      <c r="G703" s="7"/>
      <c r="H703" s="7"/>
      <c r="I703" s="5"/>
      <c r="J703" s="5"/>
    </row>
    <row r="704" spans="7:10" x14ac:dyDescent="0.25">
      <c r="G704" s="7"/>
      <c r="H704" s="7"/>
      <c r="I704" s="5"/>
      <c r="J704" s="5"/>
    </row>
    <row r="705" spans="7:10" x14ac:dyDescent="0.25">
      <c r="G705" s="7"/>
      <c r="H705" s="7"/>
      <c r="I705" s="5"/>
      <c r="J705" s="5"/>
    </row>
    <row r="706" spans="7:10" x14ac:dyDescent="0.25">
      <c r="G706" s="7"/>
      <c r="H706" s="7"/>
      <c r="I706" s="5"/>
      <c r="J706" s="5"/>
    </row>
    <row r="707" spans="7:10" x14ac:dyDescent="0.25">
      <c r="G707" s="7"/>
      <c r="H707" s="7"/>
      <c r="I707" s="5"/>
      <c r="J707" s="5"/>
    </row>
    <row r="708" spans="7:10" x14ac:dyDescent="0.25">
      <c r="G708" s="7"/>
      <c r="H708" s="7"/>
      <c r="I708" s="5"/>
      <c r="J708" s="5"/>
    </row>
    <row r="709" spans="7:10" x14ac:dyDescent="0.25">
      <c r="G709" s="7"/>
      <c r="H709" s="7"/>
      <c r="I709" s="5"/>
      <c r="J709" s="5"/>
    </row>
    <row r="710" spans="7:10" x14ac:dyDescent="0.25">
      <c r="G710" s="7"/>
      <c r="H710" s="7"/>
      <c r="I710" s="5"/>
      <c r="J710" s="5"/>
    </row>
    <row r="711" spans="7:10" x14ac:dyDescent="0.25">
      <c r="G711" s="7"/>
      <c r="H711" s="7"/>
      <c r="I711" s="5"/>
      <c r="J711" s="5"/>
    </row>
    <row r="712" spans="7:10" x14ac:dyDescent="0.25">
      <c r="G712" s="7"/>
      <c r="H712" s="7"/>
      <c r="I712" s="5"/>
      <c r="J712" s="5"/>
    </row>
    <row r="713" spans="7:10" x14ac:dyDescent="0.25">
      <c r="G713" s="7"/>
      <c r="H713" s="7"/>
      <c r="I713" s="5"/>
      <c r="J713" s="5"/>
    </row>
    <row r="714" spans="7:10" x14ac:dyDescent="0.25">
      <c r="G714" s="7"/>
      <c r="H714" s="7"/>
      <c r="I714" s="5"/>
      <c r="J714" s="5"/>
    </row>
    <row r="715" spans="7:10" x14ac:dyDescent="0.25">
      <c r="G715" s="7"/>
      <c r="H715" s="7"/>
      <c r="I715" s="5"/>
      <c r="J715" s="5"/>
    </row>
    <row r="716" spans="7:10" x14ac:dyDescent="0.25">
      <c r="G716" s="7"/>
      <c r="H716" s="7"/>
      <c r="I716" s="5"/>
      <c r="J716" s="5"/>
    </row>
    <row r="717" spans="7:10" x14ac:dyDescent="0.25">
      <c r="G717" s="7"/>
      <c r="H717" s="7"/>
      <c r="I717" s="5"/>
      <c r="J717" s="5"/>
    </row>
    <row r="718" spans="7:10" x14ac:dyDescent="0.25">
      <c r="G718" s="7"/>
      <c r="H718" s="7"/>
      <c r="I718" s="5"/>
      <c r="J718" s="5"/>
    </row>
    <row r="719" spans="7:10" x14ac:dyDescent="0.25">
      <c r="G719" s="7"/>
      <c r="H719" s="7"/>
      <c r="I719" s="5"/>
      <c r="J719" s="5"/>
    </row>
    <row r="720" spans="7:10" x14ac:dyDescent="0.25">
      <c r="G720" s="7"/>
      <c r="H720" s="7"/>
      <c r="I720" s="5"/>
      <c r="J720" s="5"/>
    </row>
    <row r="721" spans="7:10" x14ac:dyDescent="0.25">
      <c r="G721" s="7"/>
      <c r="H721" s="7"/>
      <c r="I721" s="5"/>
      <c r="J721" s="5"/>
    </row>
    <row r="722" spans="7:10" x14ac:dyDescent="0.25">
      <c r="G722" s="7"/>
      <c r="H722" s="7"/>
      <c r="I722" s="5"/>
      <c r="J722" s="5"/>
    </row>
    <row r="723" spans="7:10" x14ac:dyDescent="0.25">
      <c r="G723" s="7"/>
      <c r="H723" s="7"/>
      <c r="I723" s="5"/>
      <c r="J723" s="5"/>
    </row>
    <row r="724" spans="7:10" x14ac:dyDescent="0.25">
      <c r="G724" s="7"/>
      <c r="H724" s="7"/>
      <c r="I724" s="5"/>
      <c r="J724" s="5"/>
    </row>
    <row r="725" spans="7:10" x14ac:dyDescent="0.25">
      <c r="G725" s="7"/>
      <c r="H725" s="7"/>
      <c r="I725" s="5"/>
      <c r="J725" s="5"/>
    </row>
    <row r="726" spans="7:10" x14ac:dyDescent="0.25">
      <c r="G726" s="7"/>
      <c r="H726" s="7"/>
      <c r="I726" s="5"/>
      <c r="J726" s="5"/>
    </row>
    <row r="727" spans="7:10" x14ac:dyDescent="0.25">
      <c r="G727" s="7"/>
      <c r="H727" s="7"/>
      <c r="I727" s="5"/>
      <c r="J727" s="5"/>
    </row>
    <row r="728" spans="7:10" x14ac:dyDescent="0.25">
      <c r="G728" s="7"/>
      <c r="H728" s="7"/>
      <c r="I728" s="5"/>
      <c r="J728" s="5"/>
    </row>
    <row r="729" spans="7:10" x14ac:dyDescent="0.25">
      <c r="G729" s="7"/>
      <c r="H729" s="7"/>
      <c r="I729" s="5"/>
      <c r="J729" s="5"/>
    </row>
    <row r="730" spans="7:10" x14ac:dyDescent="0.25">
      <c r="G730" s="7"/>
      <c r="H730" s="7"/>
      <c r="I730" s="5"/>
      <c r="J730" s="5"/>
    </row>
    <row r="731" spans="7:10" x14ac:dyDescent="0.25">
      <c r="G731" s="7"/>
      <c r="H731" s="7"/>
      <c r="I731" s="5"/>
      <c r="J731" s="5"/>
    </row>
    <row r="732" spans="7:10" x14ac:dyDescent="0.25">
      <c r="G732" s="7"/>
      <c r="H732" s="7"/>
      <c r="I732" s="5"/>
      <c r="J732" s="5"/>
    </row>
    <row r="733" spans="7:10" x14ac:dyDescent="0.25">
      <c r="G733" s="7"/>
      <c r="H733" s="7"/>
      <c r="I733" s="5"/>
      <c r="J733" s="5"/>
    </row>
    <row r="734" spans="7:10" x14ac:dyDescent="0.25">
      <c r="G734" s="7"/>
      <c r="H734" s="7"/>
      <c r="I734" s="5"/>
      <c r="J734" s="5"/>
    </row>
    <row r="735" spans="7:10" x14ac:dyDescent="0.25">
      <c r="G735" s="7"/>
      <c r="H735" s="7"/>
      <c r="I735" s="5"/>
      <c r="J735" s="5"/>
    </row>
    <row r="736" spans="7:10" x14ac:dyDescent="0.25">
      <c r="G736" s="7"/>
      <c r="H736" s="7"/>
      <c r="I736" s="5"/>
      <c r="J736" s="5"/>
    </row>
    <row r="737" spans="7:10" x14ac:dyDescent="0.25">
      <c r="G737" s="7"/>
      <c r="H737" s="7"/>
      <c r="I737" s="5"/>
      <c r="J737" s="5"/>
    </row>
    <row r="738" spans="7:10" x14ac:dyDescent="0.25">
      <c r="G738" s="7"/>
      <c r="H738" s="7"/>
      <c r="I738" s="5"/>
      <c r="J738" s="5"/>
    </row>
    <row r="739" spans="7:10" x14ac:dyDescent="0.25">
      <c r="G739" s="7"/>
      <c r="H739" s="7"/>
      <c r="I739" s="5"/>
      <c r="J739" s="5"/>
    </row>
    <row r="740" spans="7:10" x14ac:dyDescent="0.25">
      <c r="G740" s="7"/>
      <c r="H740" s="7"/>
      <c r="I740" s="5"/>
      <c r="J740" s="5"/>
    </row>
    <row r="741" spans="7:10" x14ac:dyDescent="0.25">
      <c r="G741" s="7"/>
      <c r="H741" s="7"/>
      <c r="I741" s="5"/>
      <c r="J741" s="5"/>
    </row>
    <row r="742" spans="7:10" x14ac:dyDescent="0.25">
      <c r="G742" s="7"/>
      <c r="H742" s="7"/>
      <c r="I742" s="5"/>
      <c r="J742" s="5"/>
    </row>
    <row r="743" spans="7:10" x14ac:dyDescent="0.25">
      <c r="G743" s="7"/>
      <c r="H743" s="7"/>
      <c r="I743" s="5"/>
      <c r="J743" s="5"/>
    </row>
    <row r="744" spans="7:10" x14ac:dyDescent="0.25">
      <c r="G744" s="7"/>
      <c r="H744" s="7"/>
      <c r="I744" s="5"/>
      <c r="J744" s="5"/>
    </row>
    <row r="745" spans="7:10" x14ac:dyDescent="0.25">
      <c r="G745" s="7"/>
      <c r="H745" s="7"/>
      <c r="I745" s="5"/>
      <c r="J745" s="5"/>
    </row>
    <row r="746" spans="7:10" x14ac:dyDescent="0.25">
      <c r="G746" s="7"/>
      <c r="H746" s="7"/>
      <c r="I746" s="5"/>
      <c r="J746" s="5"/>
    </row>
    <row r="747" spans="7:10" x14ac:dyDescent="0.25">
      <c r="G747" s="7"/>
      <c r="H747" s="7"/>
      <c r="I747" s="5"/>
      <c r="J747" s="5"/>
    </row>
    <row r="748" spans="7:10" x14ac:dyDescent="0.25">
      <c r="G748" s="7"/>
      <c r="H748" s="7"/>
      <c r="I748" s="5"/>
      <c r="J748" s="5"/>
    </row>
    <row r="749" spans="7:10" x14ac:dyDescent="0.25">
      <c r="G749" s="7"/>
      <c r="H749" s="7"/>
      <c r="I749" s="5"/>
      <c r="J749" s="5"/>
    </row>
    <row r="750" spans="7:10" x14ac:dyDescent="0.25">
      <c r="G750" s="7"/>
      <c r="H750" s="7"/>
      <c r="I750" s="5"/>
      <c r="J750" s="5"/>
    </row>
    <row r="751" spans="7:10" x14ac:dyDescent="0.25">
      <c r="G751" s="7"/>
      <c r="H751" s="7"/>
      <c r="I751" s="5"/>
      <c r="J751" s="5"/>
    </row>
    <row r="752" spans="7:10" x14ac:dyDescent="0.25">
      <c r="G752" s="7"/>
      <c r="H752" s="7"/>
      <c r="I752" s="5"/>
      <c r="J752" s="5"/>
    </row>
    <row r="753" spans="7:10" x14ac:dyDescent="0.25">
      <c r="G753" s="7"/>
      <c r="H753" s="7"/>
      <c r="I753" s="5"/>
      <c r="J753" s="5"/>
    </row>
    <row r="754" spans="7:10" x14ac:dyDescent="0.25">
      <c r="G754" s="7"/>
      <c r="H754" s="7"/>
      <c r="I754" s="5"/>
      <c r="J754" s="5"/>
    </row>
    <row r="755" spans="7:10" x14ac:dyDescent="0.25">
      <c r="G755" s="7"/>
      <c r="H755" s="7"/>
      <c r="I755" s="5"/>
      <c r="J755" s="5"/>
    </row>
    <row r="756" spans="7:10" x14ac:dyDescent="0.25">
      <c r="G756" s="7"/>
      <c r="H756" s="7"/>
      <c r="I756" s="5"/>
      <c r="J756" s="5"/>
    </row>
    <row r="757" spans="7:10" x14ac:dyDescent="0.25">
      <c r="G757" s="7"/>
      <c r="H757" s="7"/>
      <c r="I757" s="5"/>
      <c r="J757" s="5"/>
    </row>
    <row r="758" spans="7:10" x14ac:dyDescent="0.25">
      <c r="G758" s="7"/>
      <c r="H758" s="7"/>
      <c r="I758" s="5"/>
      <c r="J758" s="5"/>
    </row>
    <row r="759" spans="7:10" x14ac:dyDescent="0.25">
      <c r="G759" s="7"/>
      <c r="H759" s="7"/>
      <c r="I759" s="5"/>
      <c r="J759" s="5"/>
    </row>
    <row r="760" spans="7:10" x14ac:dyDescent="0.25">
      <c r="G760" s="7"/>
      <c r="H760" s="7"/>
      <c r="I760" s="5"/>
      <c r="J760" s="5"/>
    </row>
    <row r="761" spans="7:10" x14ac:dyDescent="0.25">
      <c r="G761" s="7"/>
      <c r="H761" s="7"/>
      <c r="I761" s="5"/>
      <c r="J761" s="5"/>
    </row>
    <row r="762" spans="7:10" x14ac:dyDescent="0.25">
      <c r="G762" s="7"/>
      <c r="H762" s="7"/>
      <c r="I762" s="5"/>
      <c r="J762" s="5"/>
    </row>
    <row r="763" spans="7:10" x14ac:dyDescent="0.25">
      <c r="G763" s="7"/>
      <c r="H763" s="7"/>
      <c r="I763" s="5"/>
      <c r="J763" s="5"/>
    </row>
    <row r="764" spans="7:10" x14ac:dyDescent="0.25">
      <c r="G764" s="7"/>
      <c r="H764" s="7"/>
      <c r="I764" s="5"/>
      <c r="J764" s="5"/>
    </row>
    <row r="765" spans="7:10" x14ac:dyDescent="0.25">
      <c r="G765" s="7"/>
      <c r="H765" s="7"/>
      <c r="I765" s="5"/>
      <c r="J765" s="5"/>
    </row>
    <row r="766" spans="7:10" x14ac:dyDescent="0.25">
      <c r="G766" s="7"/>
      <c r="H766" s="7"/>
      <c r="I766" s="5"/>
      <c r="J766" s="5"/>
    </row>
    <row r="767" spans="7:10" x14ac:dyDescent="0.25">
      <c r="G767" s="7"/>
      <c r="H767" s="7"/>
      <c r="I767" s="5"/>
      <c r="J767" s="5"/>
    </row>
    <row r="768" spans="7:10" x14ac:dyDescent="0.25">
      <c r="G768" s="7"/>
      <c r="H768" s="7"/>
      <c r="I768" s="5"/>
      <c r="J768" s="5"/>
    </row>
    <row r="769" spans="7:10" x14ac:dyDescent="0.25">
      <c r="G769" s="7"/>
      <c r="H769" s="7"/>
      <c r="I769" s="5"/>
      <c r="J769" s="5"/>
    </row>
    <row r="770" spans="7:10" x14ac:dyDescent="0.25">
      <c r="G770" s="7"/>
      <c r="H770" s="7"/>
      <c r="I770" s="5"/>
      <c r="J770" s="5"/>
    </row>
    <row r="771" spans="7:10" x14ac:dyDescent="0.25">
      <c r="G771" s="7"/>
      <c r="H771" s="7"/>
      <c r="I771" s="5"/>
      <c r="J771" s="5"/>
    </row>
    <row r="772" spans="7:10" x14ac:dyDescent="0.25">
      <c r="G772" s="7"/>
      <c r="H772" s="7"/>
      <c r="I772" s="5"/>
      <c r="J772" s="5"/>
    </row>
    <row r="773" spans="7:10" x14ac:dyDescent="0.25">
      <c r="G773" s="7"/>
      <c r="H773" s="7"/>
      <c r="I773" s="5"/>
      <c r="J773" s="5"/>
    </row>
    <row r="774" spans="7:10" x14ac:dyDescent="0.25">
      <c r="G774" s="7"/>
      <c r="H774" s="7"/>
      <c r="I774" s="5"/>
      <c r="J774" s="5"/>
    </row>
    <row r="775" spans="7:10" x14ac:dyDescent="0.25">
      <c r="G775" s="7"/>
      <c r="H775" s="7"/>
      <c r="I775" s="5"/>
      <c r="J775" s="5"/>
    </row>
    <row r="776" spans="7:10" x14ac:dyDescent="0.25">
      <c r="G776" s="7"/>
      <c r="H776" s="7"/>
      <c r="I776" s="5"/>
      <c r="J776" s="5"/>
    </row>
    <row r="777" spans="7:10" x14ac:dyDescent="0.25">
      <c r="G777" s="7"/>
      <c r="H777" s="7"/>
      <c r="I777" s="5"/>
      <c r="J777" s="5"/>
    </row>
    <row r="778" spans="7:10" x14ac:dyDescent="0.25">
      <c r="G778" s="7"/>
      <c r="H778" s="7"/>
      <c r="I778" s="5"/>
      <c r="J778" s="5"/>
    </row>
    <row r="779" spans="7:10" x14ac:dyDescent="0.25">
      <c r="G779" s="7"/>
      <c r="H779" s="7"/>
      <c r="I779" s="5"/>
      <c r="J779" s="5"/>
    </row>
    <row r="780" spans="7:10" x14ac:dyDescent="0.25">
      <c r="G780" s="7"/>
      <c r="H780" s="7"/>
      <c r="I780" s="5"/>
      <c r="J780" s="5"/>
    </row>
    <row r="781" spans="7:10" x14ac:dyDescent="0.25">
      <c r="G781" s="7"/>
      <c r="H781" s="7"/>
      <c r="I781" s="5"/>
      <c r="J781" s="5"/>
    </row>
    <row r="782" spans="7:10" x14ac:dyDescent="0.25">
      <c r="G782" s="7"/>
      <c r="H782" s="7"/>
      <c r="I782" s="5"/>
      <c r="J782" s="5"/>
    </row>
    <row r="783" spans="7:10" x14ac:dyDescent="0.25">
      <c r="G783" s="7"/>
      <c r="H783" s="7"/>
      <c r="I783" s="5"/>
      <c r="J783" s="5"/>
    </row>
    <row r="784" spans="7:10" x14ac:dyDescent="0.25">
      <c r="G784" s="7"/>
      <c r="H784" s="7"/>
      <c r="I784" s="5"/>
      <c r="J784" s="5"/>
    </row>
    <row r="785" spans="7:10" x14ac:dyDescent="0.25">
      <c r="G785" s="7"/>
      <c r="H785" s="7"/>
      <c r="I785" s="5"/>
      <c r="J785" s="5"/>
    </row>
    <row r="786" spans="7:10" x14ac:dyDescent="0.25">
      <c r="G786" s="7"/>
      <c r="H786" s="7"/>
      <c r="I786" s="5"/>
      <c r="J786" s="5"/>
    </row>
    <row r="787" spans="7:10" x14ac:dyDescent="0.25">
      <c r="G787" s="7"/>
      <c r="H787" s="7"/>
      <c r="I787" s="5"/>
      <c r="J787" s="5"/>
    </row>
    <row r="788" spans="7:10" x14ac:dyDescent="0.25">
      <c r="G788" s="7"/>
      <c r="H788" s="7"/>
      <c r="I788" s="5"/>
      <c r="J788" s="5"/>
    </row>
    <row r="789" spans="7:10" x14ac:dyDescent="0.25">
      <c r="G789" s="7"/>
      <c r="H789" s="7"/>
      <c r="I789" s="5"/>
      <c r="J789" s="5"/>
    </row>
    <row r="790" spans="7:10" x14ac:dyDescent="0.25">
      <c r="G790" s="7"/>
      <c r="H790" s="7"/>
      <c r="I790" s="5"/>
      <c r="J790" s="5"/>
    </row>
    <row r="791" spans="7:10" x14ac:dyDescent="0.25">
      <c r="G791" s="7"/>
      <c r="H791" s="7"/>
      <c r="I791" s="5"/>
      <c r="J791" s="5"/>
    </row>
    <row r="792" spans="7:10" x14ac:dyDescent="0.25">
      <c r="G792" s="7"/>
      <c r="H792" s="7"/>
      <c r="I792" s="5"/>
      <c r="J792" s="5"/>
    </row>
    <row r="793" spans="7:10" x14ac:dyDescent="0.25">
      <c r="G793" s="7"/>
      <c r="H793" s="7"/>
      <c r="I793" s="5"/>
      <c r="J793" s="5"/>
    </row>
    <row r="794" spans="7:10" x14ac:dyDescent="0.25">
      <c r="G794" s="7"/>
      <c r="H794" s="7"/>
      <c r="I794" s="5"/>
      <c r="J794" s="5"/>
    </row>
    <row r="795" spans="7:10" x14ac:dyDescent="0.25">
      <c r="G795" s="7"/>
      <c r="H795" s="7"/>
      <c r="I795" s="5"/>
      <c r="J795" s="5"/>
    </row>
    <row r="796" spans="7:10" x14ac:dyDescent="0.25">
      <c r="G796" s="7"/>
      <c r="H796" s="7"/>
      <c r="I796" s="5"/>
      <c r="J796" s="5"/>
    </row>
    <row r="797" spans="7:10" x14ac:dyDescent="0.25">
      <c r="G797" s="7"/>
      <c r="H797" s="7"/>
      <c r="I797" s="5"/>
      <c r="J797" s="5"/>
    </row>
    <row r="798" spans="7:10" x14ac:dyDescent="0.25">
      <c r="G798" s="7"/>
      <c r="H798" s="7"/>
      <c r="I798" s="5"/>
      <c r="J798" s="5"/>
    </row>
    <row r="799" spans="7:10" x14ac:dyDescent="0.25">
      <c r="G799" s="7"/>
      <c r="H799" s="7"/>
      <c r="I799" s="5"/>
      <c r="J799" s="5"/>
    </row>
    <row r="800" spans="7:10" x14ac:dyDescent="0.25">
      <c r="G800" s="7"/>
      <c r="H800" s="7"/>
      <c r="I800" s="5"/>
      <c r="J800" s="5"/>
    </row>
    <row r="801" spans="7:10" x14ac:dyDescent="0.25">
      <c r="G801" s="7"/>
      <c r="H801" s="7"/>
      <c r="I801" s="5"/>
      <c r="J801" s="5"/>
    </row>
    <row r="802" spans="7:10" x14ac:dyDescent="0.25">
      <c r="G802" s="7"/>
      <c r="H802" s="7"/>
      <c r="I802" s="5"/>
      <c r="J802" s="5"/>
    </row>
    <row r="803" spans="7:10" x14ac:dyDescent="0.25">
      <c r="G803" s="7"/>
      <c r="H803" s="7"/>
      <c r="I803" s="5"/>
      <c r="J803" s="5"/>
    </row>
    <row r="804" spans="7:10" x14ac:dyDescent="0.25">
      <c r="G804" s="7"/>
      <c r="H804" s="7"/>
      <c r="I804" s="5"/>
      <c r="J804" s="5"/>
    </row>
    <row r="805" spans="7:10" x14ac:dyDescent="0.25">
      <c r="G805" s="7"/>
      <c r="H805" s="7"/>
      <c r="I805" s="5"/>
      <c r="J805" s="5"/>
    </row>
    <row r="806" spans="7:10" x14ac:dyDescent="0.25">
      <c r="G806" s="7"/>
      <c r="H806" s="7"/>
      <c r="I806" s="5"/>
      <c r="J806" s="5"/>
    </row>
    <row r="807" spans="7:10" x14ac:dyDescent="0.25">
      <c r="G807" s="7"/>
      <c r="H807" s="7"/>
      <c r="I807" s="5"/>
      <c r="J807" s="5"/>
    </row>
    <row r="808" spans="7:10" x14ac:dyDescent="0.25">
      <c r="G808" s="7"/>
      <c r="H808" s="7"/>
      <c r="I808" s="5"/>
      <c r="J808" s="5"/>
    </row>
    <row r="809" spans="7:10" x14ac:dyDescent="0.25">
      <c r="G809" s="7"/>
      <c r="H809" s="7"/>
      <c r="I809" s="5"/>
      <c r="J809" s="5"/>
    </row>
    <row r="810" spans="7:10" x14ac:dyDescent="0.25">
      <c r="G810" s="7"/>
      <c r="H810" s="7"/>
      <c r="I810" s="5"/>
      <c r="J810" s="5"/>
    </row>
    <row r="811" spans="7:10" x14ac:dyDescent="0.25">
      <c r="G811" s="7"/>
      <c r="H811" s="7"/>
      <c r="I811" s="5"/>
      <c r="J811" s="5"/>
    </row>
    <row r="812" spans="7:10" x14ac:dyDescent="0.25">
      <c r="G812" s="7"/>
      <c r="H812" s="7"/>
      <c r="I812" s="5"/>
      <c r="J812" s="5"/>
    </row>
    <row r="813" spans="7:10" x14ac:dyDescent="0.25">
      <c r="G813" s="7"/>
      <c r="H813" s="7"/>
      <c r="I813" s="5"/>
      <c r="J813" s="5"/>
    </row>
    <row r="814" spans="7:10" x14ac:dyDescent="0.25">
      <c r="G814" s="7"/>
      <c r="H814" s="7"/>
      <c r="I814" s="5"/>
      <c r="J814" s="5"/>
    </row>
    <row r="815" spans="7:10" x14ac:dyDescent="0.25">
      <c r="G815" s="7"/>
      <c r="H815" s="7"/>
      <c r="I815" s="5"/>
      <c r="J815" s="5"/>
    </row>
    <row r="816" spans="7:10" x14ac:dyDescent="0.25">
      <c r="G816" s="7"/>
      <c r="H816" s="7"/>
      <c r="I816" s="5"/>
      <c r="J816" s="5"/>
    </row>
    <row r="817" spans="7:10" x14ac:dyDescent="0.25">
      <c r="G817" s="7"/>
      <c r="H817" s="7"/>
      <c r="I817" s="5"/>
      <c r="J817" s="5"/>
    </row>
    <row r="818" spans="7:10" x14ac:dyDescent="0.25">
      <c r="G818" s="7"/>
      <c r="H818" s="7"/>
      <c r="I818" s="5"/>
      <c r="J818" s="5"/>
    </row>
    <row r="819" spans="7:10" x14ac:dyDescent="0.25">
      <c r="G819" s="7"/>
      <c r="H819" s="7"/>
      <c r="I819" s="5"/>
      <c r="J819" s="5"/>
    </row>
    <row r="820" spans="7:10" x14ac:dyDescent="0.25">
      <c r="G820" s="7"/>
      <c r="H820" s="7"/>
      <c r="I820" s="5"/>
      <c r="J820" s="5"/>
    </row>
    <row r="821" spans="7:10" x14ac:dyDescent="0.25">
      <c r="G821" s="7"/>
      <c r="H821" s="7"/>
      <c r="I821" s="5"/>
      <c r="J821" s="5"/>
    </row>
    <row r="822" spans="7:10" x14ac:dyDescent="0.25">
      <c r="G822" s="7"/>
      <c r="H822" s="7"/>
      <c r="I822" s="5"/>
      <c r="J822" s="5"/>
    </row>
    <row r="823" spans="7:10" x14ac:dyDescent="0.25">
      <c r="G823" s="7"/>
      <c r="H823" s="7"/>
      <c r="I823" s="5"/>
      <c r="J823" s="5"/>
    </row>
    <row r="824" spans="7:10" x14ac:dyDescent="0.25">
      <c r="G824" s="7"/>
      <c r="H824" s="7"/>
      <c r="I824" s="5"/>
      <c r="J824" s="5"/>
    </row>
    <row r="825" spans="7:10" x14ac:dyDescent="0.25">
      <c r="G825" s="7"/>
      <c r="H825" s="7"/>
      <c r="I825" s="5"/>
      <c r="J825" s="5"/>
    </row>
    <row r="826" spans="7:10" x14ac:dyDescent="0.25">
      <c r="G826" s="7"/>
      <c r="H826" s="7"/>
      <c r="I826" s="5"/>
      <c r="J826" s="5"/>
    </row>
    <row r="827" spans="7:10" x14ac:dyDescent="0.25">
      <c r="G827" s="7"/>
      <c r="H827" s="7"/>
      <c r="I827" s="5"/>
      <c r="J827" s="5"/>
    </row>
    <row r="828" spans="7:10" x14ac:dyDescent="0.25">
      <c r="G828" s="7"/>
      <c r="H828" s="7"/>
      <c r="I828" s="5"/>
      <c r="J828" s="5"/>
    </row>
    <row r="829" spans="7:10" x14ac:dyDescent="0.25">
      <c r="G829" s="7"/>
      <c r="H829" s="7"/>
      <c r="I829" s="5"/>
      <c r="J829" s="5"/>
    </row>
    <row r="830" spans="7:10" x14ac:dyDescent="0.25">
      <c r="G830" s="7"/>
      <c r="H830" s="7"/>
      <c r="I830" s="5"/>
      <c r="J830" s="5"/>
    </row>
    <row r="831" spans="7:10" x14ac:dyDescent="0.25">
      <c r="G831" s="7"/>
      <c r="H831" s="7"/>
      <c r="I831" s="5"/>
      <c r="J831" s="5"/>
    </row>
    <row r="832" spans="7:10" x14ac:dyDescent="0.25">
      <c r="G832" s="7"/>
      <c r="H832" s="7"/>
      <c r="I832" s="5"/>
      <c r="J832" s="5"/>
    </row>
    <row r="833" spans="7:10" x14ac:dyDescent="0.25">
      <c r="G833" s="7"/>
      <c r="H833" s="7"/>
      <c r="I833" s="5"/>
      <c r="J833" s="5"/>
    </row>
    <row r="834" spans="7:10" x14ac:dyDescent="0.25">
      <c r="G834" s="7"/>
      <c r="H834" s="7"/>
      <c r="I834" s="5"/>
      <c r="J834" s="5"/>
    </row>
    <row r="835" spans="7:10" x14ac:dyDescent="0.25">
      <c r="G835" s="7"/>
      <c r="H835" s="7"/>
      <c r="I835" s="5"/>
      <c r="J835" s="5"/>
    </row>
    <row r="836" spans="7:10" x14ac:dyDescent="0.25">
      <c r="G836" s="7"/>
      <c r="H836" s="7"/>
      <c r="I836" s="5"/>
      <c r="J836" s="5"/>
    </row>
    <row r="837" spans="7:10" x14ac:dyDescent="0.25">
      <c r="G837" s="7"/>
      <c r="H837" s="7"/>
      <c r="I837" s="5"/>
      <c r="J837" s="5"/>
    </row>
    <row r="838" spans="7:10" x14ac:dyDescent="0.25">
      <c r="G838" s="7"/>
      <c r="H838" s="7"/>
      <c r="I838" s="5"/>
      <c r="J838" s="5"/>
    </row>
    <row r="839" spans="7:10" x14ac:dyDescent="0.25">
      <c r="G839" s="7"/>
      <c r="H839" s="7"/>
      <c r="I839" s="5"/>
      <c r="J839" s="5"/>
    </row>
    <row r="840" spans="7:10" x14ac:dyDescent="0.25">
      <c r="G840" s="7"/>
      <c r="H840" s="7"/>
      <c r="I840" s="5"/>
      <c r="J840" s="5"/>
    </row>
    <row r="841" spans="7:10" x14ac:dyDescent="0.25">
      <c r="G841" s="7"/>
      <c r="H841" s="7"/>
      <c r="I841" s="5"/>
      <c r="J841" s="5"/>
    </row>
    <row r="842" spans="7:10" x14ac:dyDescent="0.25">
      <c r="G842" s="7"/>
      <c r="H842" s="7"/>
      <c r="I842" s="5"/>
      <c r="J842" s="5"/>
    </row>
    <row r="843" spans="7:10" x14ac:dyDescent="0.25">
      <c r="G843" s="7"/>
      <c r="H843" s="7"/>
      <c r="I843" s="5"/>
      <c r="J843" s="5"/>
    </row>
    <row r="844" spans="7:10" x14ac:dyDescent="0.25">
      <c r="G844" s="7"/>
      <c r="H844" s="7"/>
      <c r="I844" s="5"/>
      <c r="J844" s="5"/>
    </row>
    <row r="845" spans="7:10" x14ac:dyDescent="0.25">
      <c r="G845" s="7"/>
      <c r="H845" s="7"/>
      <c r="I845" s="5"/>
      <c r="J845" s="5"/>
    </row>
    <row r="846" spans="7:10" x14ac:dyDescent="0.25">
      <c r="G846" s="7"/>
      <c r="H846" s="7"/>
      <c r="I846" s="5"/>
      <c r="J846" s="5"/>
    </row>
    <row r="847" spans="7:10" x14ac:dyDescent="0.25">
      <c r="G847" s="7"/>
      <c r="H847" s="7"/>
      <c r="I847" s="5"/>
      <c r="J847" s="5"/>
    </row>
    <row r="848" spans="7:10" x14ac:dyDescent="0.25">
      <c r="G848" s="7"/>
      <c r="H848" s="7"/>
      <c r="I848" s="5"/>
      <c r="J848" s="5"/>
    </row>
    <row r="849" spans="7:10" x14ac:dyDescent="0.25">
      <c r="G849" s="7"/>
      <c r="H849" s="7"/>
      <c r="I849" s="5"/>
      <c r="J849" s="5"/>
    </row>
    <row r="850" spans="7:10" x14ac:dyDescent="0.25">
      <c r="G850" s="7"/>
      <c r="H850" s="7"/>
      <c r="I850" s="5"/>
      <c r="J850" s="5"/>
    </row>
    <row r="851" spans="7:10" x14ac:dyDescent="0.25">
      <c r="G851" s="7"/>
      <c r="H851" s="7"/>
      <c r="I851" s="5"/>
      <c r="J851" s="5"/>
    </row>
    <row r="852" spans="7:10" x14ac:dyDescent="0.25">
      <c r="G852" s="7"/>
      <c r="H852" s="7"/>
      <c r="I852" s="5"/>
      <c r="J852" s="5"/>
    </row>
    <row r="853" spans="7:10" x14ac:dyDescent="0.25">
      <c r="G853" s="7"/>
      <c r="H853" s="7"/>
      <c r="I853" s="5"/>
      <c r="J853" s="5"/>
    </row>
    <row r="854" spans="7:10" x14ac:dyDescent="0.25">
      <c r="G854" s="7"/>
      <c r="H854" s="7"/>
      <c r="I854" s="5"/>
      <c r="J854" s="5"/>
    </row>
    <row r="855" spans="7:10" x14ac:dyDescent="0.25">
      <c r="G855" s="7"/>
      <c r="H855" s="7"/>
      <c r="I855" s="5"/>
      <c r="J855" s="5"/>
    </row>
    <row r="856" spans="7:10" x14ac:dyDescent="0.25">
      <c r="G856" s="7"/>
      <c r="H856" s="7"/>
      <c r="I856" s="5"/>
      <c r="J856" s="5"/>
    </row>
    <row r="857" spans="7:10" x14ac:dyDescent="0.25">
      <c r="G857" s="7"/>
      <c r="H857" s="7"/>
      <c r="I857" s="5"/>
      <c r="J857" s="5"/>
    </row>
    <row r="858" spans="7:10" x14ac:dyDescent="0.25">
      <c r="G858" s="7"/>
      <c r="H858" s="7"/>
      <c r="I858" s="5"/>
      <c r="J858" s="5"/>
    </row>
    <row r="859" spans="7:10" x14ac:dyDescent="0.25">
      <c r="G859" s="7"/>
      <c r="H859" s="7"/>
      <c r="I859" s="5"/>
      <c r="J859" s="5"/>
    </row>
    <row r="860" spans="7:10" x14ac:dyDescent="0.25">
      <c r="G860" s="7"/>
      <c r="H860" s="7"/>
      <c r="I860" s="5"/>
      <c r="J860" s="5"/>
    </row>
    <row r="861" spans="7:10" x14ac:dyDescent="0.25">
      <c r="G861" s="7"/>
      <c r="H861" s="7"/>
      <c r="I861" s="5"/>
      <c r="J861" s="5"/>
    </row>
    <row r="862" spans="7:10" x14ac:dyDescent="0.25">
      <c r="G862" s="7"/>
      <c r="H862" s="7"/>
      <c r="I862" s="5"/>
      <c r="J862" s="5"/>
    </row>
    <row r="863" spans="7:10" x14ac:dyDescent="0.25">
      <c r="G863" s="7"/>
      <c r="H863" s="7"/>
      <c r="I863" s="5"/>
      <c r="J863" s="5"/>
    </row>
    <row r="864" spans="7:10" x14ac:dyDescent="0.25">
      <c r="G864" s="7"/>
      <c r="H864" s="7"/>
      <c r="I864" s="5"/>
      <c r="J864" s="5"/>
    </row>
    <row r="865" spans="7:10" x14ac:dyDescent="0.25">
      <c r="G865" s="7"/>
      <c r="H865" s="7"/>
      <c r="I865" s="5"/>
      <c r="J865" s="5"/>
    </row>
    <row r="866" spans="7:10" x14ac:dyDescent="0.25">
      <c r="G866" s="7"/>
      <c r="H866" s="7"/>
      <c r="I866" s="5"/>
      <c r="J866" s="5"/>
    </row>
    <row r="867" spans="7:10" x14ac:dyDescent="0.25">
      <c r="G867" s="7"/>
      <c r="H867" s="7"/>
      <c r="I867" s="5"/>
      <c r="J867" s="5"/>
    </row>
    <row r="868" spans="7:10" x14ac:dyDescent="0.25">
      <c r="G868" s="7"/>
      <c r="H868" s="7"/>
      <c r="I868" s="5"/>
      <c r="J868" s="5"/>
    </row>
    <row r="869" spans="7:10" x14ac:dyDescent="0.25">
      <c r="G869" s="7"/>
      <c r="H869" s="7"/>
      <c r="I869" s="5"/>
      <c r="J869" s="5"/>
    </row>
    <row r="870" spans="7:10" x14ac:dyDescent="0.25">
      <c r="G870" s="7"/>
      <c r="H870" s="7"/>
      <c r="I870" s="5"/>
      <c r="J870" s="5"/>
    </row>
    <row r="871" spans="7:10" x14ac:dyDescent="0.25">
      <c r="G871" s="7"/>
      <c r="H871" s="7"/>
      <c r="I871" s="5"/>
      <c r="J871" s="5"/>
    </row>
    <row r="872" spans="7:10" x14ac:dyDescent="0.25">
      <c r="G872" s="7"/>
      <c r="H872" s="7"/>
      <c r="I872" s="5"/>
      <c r="J872" s="5"/>
    </row>
    <row r="873" spans="7:10" x14ac:dyDescent="0.25">
      <c r="G873" s="7"/>
      <c r="H873" s="7"/>
      <c r="I873" s="5"/>
      <c r="J873" s="5"/>
    </row>
    <row r="874" spans="7:10" x14ac:dyDescent="0.25">
      <c r="G874" s="7"/>
      <c r="H874" s="7"/>
      <c r="I874" s="5"/>
      <c r="J874" s="5"/>
    </row>
    <row r="875" spans="7:10" x14ac:dyDescent="0.25">
      <c r="G875" s="7"/>
      <c r="H875" s="7"/>
      <c r="I875" s="5"/>
      <c r="J875" s="5"/>
    </row>
    <row r="876" spans="7:10" x14ac:dyDescent="0.25">
      <c r="G876" s="7"/>
      <c r="H876" s="7"/>
      <c r="I876" s="5"/>
      <c r="J876" s="5"/>
    </row>
    <row r="877" spans="7:10" x14ac:dyDescent="0.25">
      <c r="G877" s="7"/>
      <c r="H877" s="7"/>
      <c r="I877" s="5"/>
      <c r="J877" s="5"/>
    </row>
    <row r="878" spans="7:10" x14ac:dyDescent="0.25">
      <c r="G878" s="7"/>
      <c r="H878" s="7"/>
      <c r="I878" s="5"/>
      <c r="J878" s="5"/>
    </row>
    <row r="879" spans="7:10" x14ac:dyDescent="0.25">
      <c r="G879" s="7"/>
      <c r="H879" s="7"/>
      <c r="I879" s="5"/>
      <c r="J879" s="5"/>
    </row>
    <row r="880" spans="7:10" x14ac:dyDescent="0.25">
      <c r="G880" s="7"/>
      <c r="H880" s="7"/>
      <c r="I880" s="5"/>
      <c r="J880" s="5"/>
    </row>
    <row r="881" spans="7:10" x14ac:dyDescent="0.25">
      <c r="G881" s="7"/>
      <c r="H881" s="7"/>
      <c r="I881" s="5"/>
      <c r="J881" s="5"/>
    </row>
    <row r="882" spans="7:10" x14ac:dyDescent="0.25">
      <c r="G882" s="7"/>
      <c r="H882" s="7"/>
      <c r="I882" s="5"/>
      <c r="J882" s="5"/>
    </row>
    <row r="883" spans="7:10" x14ac:dyDescent="0.25">
      <c r="G883" s="7"/>
      <c r="H883" s="7"/>
      <c r="I883" s="5"/>
      <c r="J883" s="5"/>
    </row>
    <row r="884" spans="7:10" x14ac:dyDescent="0.25">
      <c r="G884" s="7"/>
      <c r="H884" s="7"/>
      <c r="I884" s="5"/>
      <c r="J884" s="5"/>
    </row>
    <row r="885" spans="7:10" x14ac:dyDescent="0.25">
      <c r="G885" s="7"/>
      <c r="H885" s="7"/>
      <c r="I885" s="5"/>
      <c r="J885" s="5"/>
    </row>
    <row r="886" spans="7:10" x14ac:dyDescent="0.25">
      <c r="G886" s="7"/>
      <c r="H886" s="7"/>
      <c r="I886" s="5"/>
      <c r="J886" s="5"/>
    </row>
    <row r="887" spans="7:10" x14ac:dyDescent="0.25">
      <c r="G887" s="7"/>
      <c r="H887" s="7"/>
      <c r="I887" s="5"/>
      <c r="J887" s="5"/>
    </row>
    <row r="888" spans="7:10" x14ac:dyDescent="0.25">
      <c r="G888" s="7"/>
      <c r="H888" s="7"/>
      <c r="I888" s="5"/>
      <c r="J888" s="5"/>
    </row>
    <row r="889" spans="7:10" x14ac:dyDescent="0.25">
      <c r="G889" s="7"/>
      <c r="H889" s="7"/>
      <c r="I889" s="5"/>
      <c r="J889" s="5"/>
    </row>
    <row r="890" spans="7:10" x14ac:dyDescent="0.25">
      <c r="G890" s="7"/>
      <c r="H890" s="7"/>
      <c r="I890" s="5"/>
      <c r="J890" s="5"/>
    </row>
    <row r="891" spans="7:10" x14ac:dyDescent="0.25">
      <c r="G891" s="7"/>
      <c r="H891" s="7"/>
      <c r="I891" s="5"/>
      <c r="J891" s="5"/>
    </row>
    <row r="892" spans="7:10" x14ac:dyDescent="0.25">
      <c r="G892" s="7"/>
      <c r="H892" s="7"/>
      <c r="I892" s="5"/>
      <c r="J892" s="5"/>
    </row>
    <row r="893" spans="7:10" x14ac:dyDescent="0.25">
      <c r="G893" s="7"/>
      <c r="H893" s="7"/>
      <c r="I893" s="5"/>
      <c r="J893" s="5"/>
    </row>
    <row r="894" spans="7:10" x14ac:dyDescent="0.25">
      <c r="G894" s="7"/>
      <c r="H894" s="7"/>
      <c r="I894" s="5"/>
      <c r="J894" s="5"/>
    </row>
    <row r="895" spans="7:10" x14ac:dyDescent="0.25">
      <c r="G895" s="7"/>
      <c r="H895" s="7"/>
      <c r="I895" s="5"/>
      <c r="J895" s="5"/>
    </row>
    <row r="896" spans="7:10" x14ac:dyDescent="0.25">
      <c r="G896" s="7"/>
      <c r="H896" s="7"/>
      <c r="I896" s="5"/>
      <c r="J896" s="5"/>
    </row>
    <row r="897" spans="7:10" x14ac:dyDescent="0.25">
      <c r="G897" s="7"/>
      <c r="H897" s="7"/>
      <c r="I897" s="5"/>
      <c r="J897" s="5"/>
    </row>
    <row r="898" spans="7:10" x14ac:dyDescent="0.25">
      <c r="G898" s="7"/>
      <c r="H898" s="7"/>
      <c r="I898" s="5"/>
      <c r="J898" s="5"/>
    </row>
    <row r="899" spans="7:10" x14ac:dyDescent="0.25">
      <c r="G899" s="7"/>
      <c r="H899" s="7"/>
      <c r="I899" s="5"/>
      <c r="J899" s="5"/>
    </row>
    <row r="900" spans="7:10" x14ac:dyDescent="0.25">
      <c r="G900" s="7"/>
      <c r="H900" s="7"/>
      <c r="I900" s="5"/>
      <c r="J900" s="5"/>
    </row>
    <row r="901" spans="7:10" x14ac:dyDescent="0.25">
      <c r="G901" s="7"/>
      <c r="H901" s="7"/>
      <c r="I901" s="5"/>
      <c r="J901" s="5"/>
    </row>
    <row r="902" spans="7:10" x14ac:dyDescent="0.25">
      <c r="G902" s="7"/>
      <c r="H902" s="7"/>
      <c r="I902" s="5"/>
      <c r="J902" s="5"/>
    </row>
    <row r="903" spans="7:10" x14ac:dyDescent="0.25">
      <c r="G903" s="7"/>
      <c r="H903" s="7"/>
      <c r="I903" s="5"/>
      <c r="J903" s="5"/>
    </row>
    <row r="904" spans="7:10" x14ac:dyDescent="0.25">
      <c r="G904" s="7"/>
      <c r="H904" s="7"/>
      <c r="I904" s="5"/>
      <c r="J904" s="5"/>
    </row>
    <row r="905" spans="7:10" x14ac:dyDescent="0.25">
      <c r="G905" s="7"/>
      <c r="H905" s="7"/>
      <c r="I905" s="5"/>
      <c r="J905" s="5"/>
    </row>
    <row r="906" spans="7:10" x14ac:dyDescent="0.25">
      <c r="G906" s="7"/>
      <c r="H906" s="7"/>
      <c r="I906" s="5"/>
      <c r="J906" s="5"/>
    </row>
    <row r="907" spans="7:10" x14ac:dyDescent="0.25">
      <c r="G907" s="7"/>
      <c r="H907" s="7"/>
      <c r="I907" s="5"/>
      <c r="J907" s="5"/>
    </row>
    <row r="908" spans="7:10" x14ac:dyDescent="0.25">
      <c r="G908" s="7"/>
      <c r="H908" s="7"/>
      <c r="I908" s="5"/>
      <c r="J908" s="5"/>
    </row>
    <row r="909" spans="7:10" x14ac:dyDescent="0.25">
      <c r="G909" s="7"/>
      <c r="H909" s="7"/>
      <c r="I909" s="5"/>
      <c r="J909" s="5"/>
    </row>
    <row r="910" spans="7:10" x14ac:dyDescent="0.25">
      <c r="G910" s="7"/>
      <c r="H910" s="7"/>
      <c r="I910" s="5"/>
      <c r="J910" s="5"/>
    </row>
    <row r="911" spans="7:10" x14ac:dyDescent="0.25">
      <c r="G911" s="7"/>
      <c r="H911" s="7"/>
      <c r="I911" s="5"/>
      <c r="J911" s="5"/>
    </row>
    <row r="912" spans="7:10" x14ac:dyDescent="0.25">
      <c r="G912" s="7"/>
      <c r="H912" s="7"/>
      <c r="I912" s="5"/>
      <c r="J912" s="5"/>
    </row>
    <row r="913" spans="7:10" x14ac:dyDescent="0.25">
      <c r="G913" s="7"/>
      <c r="H913" s="7"/>
      <c r="I913" s="5"/>
      <c r="J913" s="5"/>
    </row>
    <row r="914" spans="7:10" x14ac:dyDescent="0.25">
      <c r="G914" s="7"/>
      <c r="H914" s="7"/>
      <c r="I914" s="5"/>
      <c r="J914" s="5"/>
    </row>
    <row r="915" spans="7:10" x14ac:dyDescent="0.25">
      <c r="G915" s="7"/>
      <c r="H915" s="7"/>
      <c r="I915" s="5"/>
      <c r="J915" s="5"/>
    </row>
    <row r="916" spans="7:10" x14ac:dyDescent="0.25">
      <c r="G916" s="7"/>
      <c r="H916" s="7"/>
      <c r="I916" s="5"/>
      <c r="J916" s="5"/>
    </row>
    <row r="917" spans="7:10" x14ac:dyDescent="0.25">
      <c r="G917" s="7"/>
      <c r="H917" s="7"/>
      <c r="I917" s="5"/>
      <c r="J917" s="5"/>
    </row>
    <row r="918" spans="7:10" x14ac:dyDescent="0.25">
      <c r="G918" s="7"/>
      <c r="H918" s="7"/>
      <c r="I918" s="5"/>
      <c r="J918" s="5"/>
    </row>
    <row r="919" spans="7:10" x14ac:dyDescent="0.25">
      <c r="G919" s="7"/>
      <c r="H919" s="7"/>
      <c r="I919" s="5"/>
      <c r="J919" s="5"/>
    </row>
    <row r="920" spans="7:10" x14ac:dyDescent="0.25">
      <c r="G920" s="7"/>
      <c r="H920" s="7"/>
      <c r="I920" s="5"/>
      <c r="J920" s="5"/>
    </row>
    <row r="921" spans="7:10" x14ac:dyDescent="0.25">
      <c r="G921" s="7"/>
      <c r="H921" s="7"/>
      <c r="I921" s="5"/>
      <c r="J921" s="5"/>
    </row>
    <row r="922" spans="7:10" x14ac:dyDescent="0.25">
      <c r="G922" s="7"/>
      <c r="H922" s="7"/>
      <c r="I922" s="5"/>
      <c r="J922" s="5"/>
    </row>
    <row r="923" spans="7:10" x14ac:dyDescent="0.25">
      <c r="G923" s="7"/>
      <c r="H923" s="7"/>
      <c r="I923" s="5"/>
      <c r="J923" s="5"/>
    </row>
    <row r="924" spans="7:10" x14ac:dyDescent="0.25">
      <c r="G924" s="7"/>
      <c r="H924" s="7"/>
      <c r="I924" s="5"/>
      <c r="J924" s="5"/>
    </row>
    <row r="925" spans="7:10" x14ac:dyDescent="0.25">
      <c r="G925" s="7"/>
      <c r="H925" s="7"/>
      <c r="I925" s="5"/>
      <c r="J925" s="5"/>
    </row>
    <row r="926" spans="7:10" x14ac:dyDescent="0.25">
      <c r="G926" s="7"/>
      <c r="H926" s="7"/>
      <c r="I926" s="5"/>
      <c r="J926" s="5"/>
    </row>
    <row r="927" spans="7:10" x14ac:dyDescent="0.25">
      <c r="G927" s="7"/>
      <c r="H927" s="7"/>
      <c r="I927" s="5"/>
      <c r="J927" s="5"/>
    </row>
    <row r="928" spans="7:10" x14ac:dyDescent="0.25">
      <c r="G928" s="7"/>
      <c r="H928" s="7"/>
      <c r="I928" s="5"/>
      <c r="J928" s="5"/>
    </row>
    <row r="929" spans="7:10" x14ac:dyDescent="0.25">
      <c r="G929" s="7"/>
      <c r="H929" s="7"/>
      <c r="I929" s="5"/>
      <c r="J929" s="5"/>
    </row>
    <row r="930" spans="7:10" x14ac:dyDescent="0.25">
      <c r="G930" s="7"/>
      <c r="H930" s="7"/>
      <c r="I930" s="5"/>
      <c r="J930" s="5"/>
    </row>
    <row r="931" spans="7:10" x14ac:dyDescent="0.25">
      <c r="G931" s="7"/>
      <c r="H931" s="7"/>
      <c r="I931" s="5"/>
      <c r="J931" s="5"/>
    </row>
    <row r="932" spans="7:10" x14ac:dyDescent="0.25">
      <c r="G932" s="7"/>
      <c r="H932" s="7"/>
      <c r="I932" s="5"/>
      <c r="J932" s="5"/>
    </row>
    <row r="933" spans="7:10" x14ac:dyDescent="0.25">
      <c r="G933" s="7"/>
      <c r="H933" s="7"/>
      <c r="I933" s="5"/>
      <c r="J933" s="5"/>
    </row>
    <row r="934" spans="7:10" x14ac:dyDescent="0.25">
      <c r="G934" s="7"/>
      <c r="H934" s="7"/>
      <c r="I934" s="5"/>
      <c r="J934" s="5"/>
    </row>
    <row r="935" spans="7:10" x14ac:dyDescent="0.25">
      <c r="G935" s="7"/>
      <c r="H935" s="7"/>
      <c r="I935" s="5"/>
      <c r="J935" s="5"/>
    </row>
    <row r="936" spans="7:10" x14ac:dyDescent="0.25">
      <c r="G936" s="7"/>
      <c r="H936" s="7"/>
      <c r="I936" s="5"/>
      <c r="J936" s="5"/>
    </row>
    <row r="937" spans="7:10" x14ac:dyDescent="0.25">
      <c r="G937" s="7"/>
      <c r="H937" s="7"/>
      <c r="I937" s="5"/>
      <c r="J937" s="5"/>
    </row>
    <row r="938" spans="7:10" x14ac:dyDescent="0.25">
      <c r="G938" s="7"/>
      <c r="H938" s="7"/>
      <c r="I938" s="5"/>
      <c r="J938" s="5"/>
    </row>
    <row r="939" spans="7:10" x14ac:dyDescent="0.25">
      <c r="G939" s="7"/>
      <c r="H939" s="7"/>
      <c r="I939" s="5"/>
      <c r="J939" s="5"/>
    </row>
    <row r="940" spans="7:10" x14ac:dyDescent="0.25">
      <c r="G940" s="7"/>
      <c r="H940" s="7"/>
      <c r="I940" s="5"/>
      <c r="J940" s="5"/>
    </row>
    <row r="941" spans="7:10" x14ac:dyDescent="0.25">
      <c r="G941" s="7"/>
      <c r="H941" s="7"/>
      <c r="I941" s="5"/>
      <c r="J941" s="5"/>
    </row>
    <row r="942" spans="7:10" x14ac:dyDescent="0.25">
      <c r="G942" s="7"/>
      <c r="H942" s="7"/>
      <c r="I942" s="5"/>
      <c r="J942" s="5"/>
    </row>
    <row r="943" spans="7:10" x14ac:dyDescent="0.25">
      <c r="G943" s="7"/>
      <c r="H943" s="7"/>
      <c r="I943" s="5"/>
      <c r="J943" s="5"/>
    </row>
    <row r="944" spans="7:10" x14ac:dyDescent="0.25">
      <c r="G944" s="7"/>
      <c r="H944" s="7"/>
      <c r="I944" s="5"/>
      <c r="J944" s="5"/>
    </row>
    <row r="945" spans="7:10" x14ac:dyDescent="0.25">
      <c r="G945" s="7"/>
      <c r="H945" s="7"/>
      <c r="I945" s="5"/>
      <c r="J945" s="5"/>
    </row>
    <row r="946" spans="7:10" x14ac:dyDescent="0.25">
      <c r="G946" s="7"/>
      <c r="H946" s="7"/>
      <c r="I946" s="5"/>
      <c r="J946" s="5"/>
    </row>
    <row r="947" spans="7:10" x14ac:dyDescent="0.25">
      <c r="G947" s="7"/>
      <c r="H947" s="7"/>
      <c r="I947" s="5"/>
      <c r="J947" s="5"/>
    </row>
    <row r="948" spans="7:10" x14ac:dyDescent="0.25">
      <c r="G948" s="7"/>
      <c r="H948" s="7"/>
      <c r="I948" s="5"/>
      <c r="J948" s="5"/>
    </row>
    <row r="949" spans="7:10" x14ac:dyDescent="0.25">
      <c r="G949" s="7"/>
      <c r="H949" s="7"/>
      <c r="I949" s="5"/>
      <c r="J949" s="5"/>
    </row>
    <row r="950" spans="7:10" x14ac:dyDescent="0.25">
      <c r="G950" s="7"/>
      <c r="H950" s="7"/>
      <c r="I950" s="5"/>
      <c r="J950" s="5"/>
    </row>
    <row r="951" spans="7:10" x14ac:dyDescent="0.25">
      <c r="G951" s="7"/>
      <c r="H951" s="7"/>
      <c r="I951" s="5"/>
      <c r="J951" s="5"/>
    </row>
    <row r="952" spans="7:10" x14ac:dyDescent="0.25">
      <c r="G952" s="7"/>
      <c r="H952" s="7"/>
      <c r="I952" s="5"/>
      <c r="J952" s="5"/>
    </row>
    <row r="953" spans="7:10" x14ac:dyDescent="0.25">
      <c r="G953" s="7"/>
      <c r="H953" s="7"/>
      <c r="I953" s="5"/>
      <c r="J953" s="5"/>
    </row>
    <row r="954" spans="7:10" x14ac:dyDescent="0.25">
      <c r="G954" s="7"/>
      <c r="H954" s="7"/>
      <c r="I954" s="5"/>
      <c r="J954" s="5"/>
    </row>
    <row r="955" spans="7:10" x14ac:dyDescent="0.25">
      <c r="G955" s="7"/>
      <c r="H955" s="7"/>
      <c r="I955" s="5"/>
      <c r="J955" s="5"/>
    </row>
    <row r="956" spans="7:10" x14ac:dyDescent="0.25">
      <c r="G956" s="7"/>
      <c r="H956" s="7"/>
      <c r="I956" s="5"/>
      <c r="J956" s="5"/>
    </row>
    <row r="957" spans="7:10" x14ac:dyDescent="0.25">
      <c r="G957" s="7"/>
      <c r="H957" s="7"/>
      <c r="I957" s="5"/>
      <c r="J957" s="5"/>
    </row>
    <row r="958" spans="7:10" x14ac:dyDescent="0.25">
      <c r="G958" s="7"/>
      <c r="H958" s="7"/>
      <c r="I958" s="5"/>
      <c r="J958" s="5"/>
    </row>
    <row r="959" spans="7:10" x14ac:dyDescent="0.25">
      <c r="G959" s="7"/>
      <c r="H959" s="7"/>
      <c r="I959" s="5"/>
      <c r="J959" s="5"/>
    </row>
    <row r="960" spans="7:10" x14ac:dyDescent="0.25">
      <c r="G960" s="7"/>
      <c r="H960" s="7"/>
      <c r="I960" s="5"/>
      <c r="J960" s="5"/>
    </row>
    <row r="961" spans="7:10" x14ac:dyDescent="0.25">
      <c r="G961" s="7"/>
      <c r="H961" s="7"/>
      <c r="I961" s="5"/>
      <c r="J961" s="5"/>
    </row>
    <row r="962" spans="7:10" x14ac:dyDescent="0.25">
      <c r="G962" s="7"/>
      <c r="H962" s="7"/>
      <c r="I962" s="5"/>
      <c r="J962" s="5"/>
    </row>
    <row r="963" spans="7:10" x14ac:dyDescent="0.25">
      <c r="G963" s="7"/>
      <c r="H963" s="7"/>
      <c r="I963" s="5"/>
      <c r="J963" s="5"/>
    </row>
    <row r="964" spans="7:10" x14ac:dyDescent="0.25">
      <c r="G964" s="7"/>
      <c r="H964" s="7"/>
      <c r="I964" s="5"/>
      <c r="J964" s="5"/>
    </row>
    <row r="965" spans="7:10" x14ac:dyDescent="0.25">
      <c r="G965" s="7"/>
      <c r="H965" s="7"/>
      <c r="I965" s="5"/>
      <c r="J965" s="5"/>
    </row>
    <row r="966" spans="7:10" x14ac:dyDescent="0.25">
      <c r="G966" s="7"/>
      <c r="H966" s="7"/>
      <c r="I966" s="5"/>
      <c r="J966" s="5"/>
    </row>
    <row r="967" spans="7:10" x14ac:dyDescent="0.25">
      <c r="G967" s="7"/>
      <c r="H967" s="7"/>
      <c r="I967" s="5"/>
      <c r="J967" s="5"/>
    </row>
    <row r="968" spans="7:10" x14ac:dyDescent="0.25">
      <c r="G968" s="7"/>
      <c r="H968" s="7"/>
      <c r="I968" s="5"/>
      <c r="J968" s="5"/>
    </row>
    <row r="969" spans="7:10" x14ac:dyDescent="0.25">
      <c r="G969" s="7"/>
      <c r="H969" s="7"/>
      <c r="I969" s="5"/>
      <c r="J969" s="5"/>
    </row>
    <row r="970" spans="7:10" x14ac:dyDescent="0.25">
      <c r="G970" s="7"/>
      <c r="H970" s="7"/>
      <c r="I970" s="5"/>
      <c r="J970" s="5"/>
    </row>
    <row r="971" spans="7:10" x14ac:dyDescent="0.25">
      <c r="G971" s="7"/>
      <c r="H971" s="7"/>
      <c r="I971" s="5"/>
      <c r="J971" s="5"/>
    </row>
    <row r="972" spans="7:10" x14ac:dyDescent="0.25">
      <c r="G972" s="7"/>
      <c r="H972" s="7"/>
      <c r="I972" s="5"/>
      <c r="J972" s="5"/>
    </row>
    <row r="973" spans="7:10" x14ac:dyDescent="0.25">
      <c r="G973" s="7"/>
      <c r="H973" s="7"/>
      <c r="I973" s="5"/>
      <c r="J973" s="5"/>
    </row>
    <row r="974" spans="7:10" x14ac:dyDescent="0.25">
      <c r="G974" s="7"/>
      <c r="H974" s="7"/>
      <c r="I974" s="5"/>
      <c r="J974" s="5"/>
    </row>
    <row r="975" spans="7:10" x14ac:dyDescent="0.25">
      <c r="G975" s="7"/>
      <c r="H975" s="7"/>
      <c r="I975" s="5"/>
      <c r="J975" s="5"/>
    </row>
    <row r="976" spans="7:10" x14ac:dyDescent="0.25">
      <c r="G976" s="7"/>
      <c r="H976" s="7"/>
      <c r="I976" s="5"/>
      <c r="J976" s="5"/>
    </row>
    <row r="977" spans="7:10" x14ac:dyDescent="0.25">
      <c r="G977" s="7"/>
      <c r="H977" s="7"/>
      <c r="I977" s="5"/>
      <c r="J977" s="5"/>
    </row>
    <row r="978" spans="7:10" x14ac:dyDescent="0.25">
      <c r="G978" s="7"/>
      <c r="H978" s="7"/>
      <c r="I978" s="5"/>
      <c r="J978" s="5"/>
    </row>
    <row r="979" spans="7:10" x14ac:dyDescent="0.25">
      <c r="G979" s="7"/>
      <c r="H979" s="7"/>
      <c r="I979" s="5"/>
      <c r="J979" s="5"/>
    </row>
    <row r="980" spans="7:10" x14ac:dyDescent="0.25">
      <c r="G980" s="7"/>
      <c r="H980" s="7"/>
      <c r="I980" s="5"/>
      <c r="J980" s="5"/>
    </row>
    <row r="981" spans="7:10" x14ac:dyDescent="0.25">
      <c r="G981" s="7"/>
      <c r="H981" s="7"/>
      <c r="I981" s="5"/>
      <c r="J981" s="5"/>
    </row>
    <row r="982" spans="7:10" x14ac:dyDescent="0.25">
      <c r="G982" s="7"/>
      <c r="H982" s="7"/>
      <c r="I982" s="5"/>
      <c r="J982" s="5"/>
    </row>
    <row r="983" spans="7:10" x14ac:dyDescent="0.25">
      <c r="G983" s="7"/>
      <c r="H983" s="7"/>
      <c r="I983" s="5"/>
      <c r="J983" s="5"/>
    </row>
    <row r="984" spans="7:10" x14ac:dyDescent="0.25">
      <c r="G984" s="7"/>
      <c r="H984" s="7"/>
      <c r="I984" s="5"/>
      <c r="J984" s="5"/>
    </row>
    <row r="985" spans="7:10" x14ac:dyDescent="0.25">
      <c r="G985" s="7"/>
      <c r="H985" s="7"/>
      <c r="I985" s="5"/>
      <c r="J985" s="5"/>
    </row>
    <row r="986" spans="7:10" x14ac:dyDescent="0.25">
      <c r="G986" s="7"/>
      <c r="H986" s="7"/>
      <c r="I986" s="5"/>
      <c r="J986" s="5"/>
    </row>
    <row r="987" spans="7:10" x14ac:dyDescent="0.25">
      <c r="G987" s="7"/>
      <c r="H987" s="7"/>
      <c r="I987" s="5"/>
      <c r="J987" s="5"/>
    </row>
    <row r="988" spans="7:10" x14ac:dyDescent="0.25">
      <c r="G988" s="7"/>
      <c r="H988" s="7"/>
      <c r="I988" s="5"/>
      <c r="J988" s="5"/>
    </row>
    <row r="989" spans="7:10" x14ac:dyDescent="0.25">
      <c r="G989" s="7"/>
      <c r="H989" s="7"/>
      <c r="I989" s="5"/>
      <c r="J989" s="5"/>
    </row>
    <row r="990" spans="7:10" x14ac:dyDescent="0.25">
      <c r="G990" s="7"/>
      <c r="H990" s="7"/>
      <c r="I990" s="5"/>
      <c r="J990" s="5"/>
    </row>
    <row r="991" spans="7:10" x14ac:dyDescent="0.25">
      <c r="G991" s="7"/>
      <c r="H991" s="7"/>
      <c r="I991" s="5"/>
      <c r="J991" s="5"/>
    </row>
    <row r="992" spans="7:10" x14ac:dyDescent="0.25">
      <c r="G992" s="7"/>
      <c r="H992" s="7"/>
      <c r="I992" s="5"/>
      <c r="J992" s="5"/>
    </row>
    <row r="993" spans="7:10" x14ac:dyDescent="0.25">
      <c r="G993" s="7"/>
      <c r="H993" s="7"/>
      <c r="I993" s="5"/>
      <c r="J993" s="5"/>
    </row>
    <row r="994" spans="7:10" x14ac:dyDescent="0.25">
      <c r="G994" s="7"/>
      <c r="H994" s="7"/>
      <c r="I994" s="5"/>
      <c r="J994" s="5"/>
    </row>
    <row r="995" spans="7:10" x14ac:dyDescent="0.25">
      <c r="G995" s="7"/>
      <c r="H995" s="7"/>
      <c r="I995" s="5"/>
      <c r="J995" s="5"/>
    </row>
    <row r="996" spans="7:10" x14ac:dyDescent="0.25">
      <c r="G996" s="7"/>
      <c r="H996" s="7"/>
      <c r="I996" s="5"/>
      <c r="J996" s="5"/>
    </row>
    <row r="997" spans="7:10" x14ac:dyDescent="0.25">
      <c r="G997" s="7"/>
      <c r="H997" s="7"/>
      <c r="I997" s="5"/>
      <c r="J997" s="5"/>
    </row>
    <row r="998" spans="7:10" x14ac:dyDescent="0.25">
      <c r="G998" s="7"/>
      <c r="H998" s="7"/>
      <c r="I998" s="5"/>
      <c r="J998" s="5"/>
    </row>
    <row r="999" spans="7:10" x14ac:dyDescent="0.25">
      <c r="G999" s="7"/>
      <c r="H999" s="7"/>
      <c r="I999" s="5"/>
      <c r="J999" s="5"/>
    </row>
    <row r="1000" spans="7:10" x14ac:dyDescent="0.25">
      <c r="G1000" s="7"/>
      <c r="H1000" s="7"/>
      <c r="I1000" s="5"/>
      <c r="J1000" s="5"/>
    </row>
    <row r="1001" spans="7:10" x14ac:dyDescent="0.25">
      <c r="G1001" s="7"/>
      <c r="H1001" s="7"/>
      <c r="I1001" s="5"/>
      <c r="J1001" s="5"/>
    </row>
    <row r="1002" spans="7:10" x14ac:dyDescent="0.25">
      <c r="G1002" s="7"/>
      <c r="H1002" s="7"/>
      <c r="I1002" s="5"/>
      <c r="J1002" s="5"/>
    </row>
    <row r="1003" spans="7:10" x14ac:dyDescent="0.25">
      <c r="G1003" s="7"/>
      <c r="H1003" s="7"/>
      <c r="I1003" s="5"/>
      <c r="J1003" s="5"/>
    </row>
    <row r="1004" spans="7:10" x14ac:dyDescent="0.25">
      <c r="G1004" s="7"/>
      <c r="H1004" s="7"/>
      <c r="I1004" s="5"/>
      <c r="J1004" s="5"/>
    </row>
    <row r="1005" spans="7:10" x14ac:dyDescent="0.25">
      <c r="G1005" s="7"/>
      <c r="H1005" s="7"/>
      <c r="I1005" s="5"/>
      <c r="J1005" s="5"/>
    </row>
    <row r="1006" spans="7:10" x14ac:dyDescent="0.25">
      <c r="G1006" s="7"/>
      <c r="H1006" s="7"/>
      <c r="I1006" s="5"/>
      <c r="J1006" s="5"/>
    </row>
    <row r="1007" spans="7:10" x14ac:dyDescent="0.25">
      <c r="G1007" s="7"/>
      <c r="H1007" s="7"/>
      <c r="I1007" s="5"/>
      <c r="J1007" s="5"/>
    </row>
    <row r="1008" spans="7:10" x14ac:dyDescent="0.25">
      <c r="G1008" s="7"/>
      <c r="H1008" s="7"/>
      <c r="I1008" s="5"/>
      <c r="J1008" s="5"/>
    </row>
    <row r="1009" spans="7:10" x14ac:dyDescent="0.25">
      <c r="G1009" s="7"/>
      <c r="H1009" s="7"/>
      <c r="I1009" s="5"/>
      <c r="J1009" s="5"/>
    </row>
    <row r="1010" spans="7:10" x14ac:dyDescent="0.25">
      <c r="G1010" s="7"/>
      <c r="H1010" s="7"/>
      <c r="I1010" s="5"/>
      <c r="J1010" s="5"/>
    </row>
    <row r="1011" spans="7:10" x14ac:dyDescent="0.25">
      <c r="G1011" s="7"/>
      <c r="H1011" s="7"/>
      <c r="I1011" s="5"/>
      <c r="J1011" s="5"/>
    </row>
    <row r="1012" spans="7:10" x14ac:dyDescent="0.25">
      <c r="G1012" s="7"/>
      <c r="H1012" s="7"/>
      <c r="I1012" s="5"/>
      <c r="J1012" s="5"/>
    </row>
    <row r="1013" spans="7:10" x14ac:dyDescent="0.25">
      <c r="G1013" s="7"/>
      <c r="H1013" s="7"/>
      <c r="I1013" s="5"/>
      <c r="J1013" s="5"/>
    </row>
    <row r="1014" spans="7:10" x14ac:dyDescent="0.25">
      <c r="G1014" s="7"/>
      <c r="H1014" s="7"/>
      <c r="I1014" s="5"/>
      <c r="J1014" s="5"/>
    </row>
    <row r="1015" spans="7:10" x14ac:dyDescent="0.25">
      <c r="G1015" s="7"/>
      <c r="H1015" s="7"/>
      <c r="I1015" s="5"/>
      <c r="J1015" s="5"/>
    </row>
    <row r="1016" spans="7:10" x14ac:dyDescent="0.25">
      <c r="G1016" s="7"/>
      <c r="H1016" s="7"/>
      <c r="I1016" s="5"/>
      <c r="J1016" s="5"/>
    </row>
    <row r="1017" spans="7:10" x14ac:dyDescent="0.25">
      <c r="G1017" s="7"/>
      <c r="H1017" s="7"/>
      <c r="I1017" s="5"/>
      <c r="J1017" s="5"/>
    </row>
    <row r="1018" spans="7:10" x14ac:dyDescent="0.25">
      <c r="G1018" s="7"/>
      <c r="H1018" s="7"/>
      <c r="I1018" s="5"/>
      <c r="J1018" s="5"/>
    </row>
    <row r="1019" spans="7:10" x14ac:dyDescent="0.25">
      <c r="G1019" s="7"/>
      <c r="H1019" s="7"/>
      <c r="I1019" s="5"/>
      <c r="J1019" s="5"/>
    </row>
    <row r="1020" spans="7:10" x14ac:dyDescent="0.25">
      <c r="G1020" s="7"/>
      <c r="H1020" s="7"/>
      <c r="I1020" s="5"/>
      <c r="J1020" s="5"/>
    </row>
    <row r="1021" spans="7:10" x14ac:dyDescent="0.25">
      <c r="G1021" s="7"/>
      <c r="H1021" s="7"/>
      <c r="I1021" s="5"/>
      <c r="J1021" s="5"/>
    </row>
    <row r="1022" spans="7:10" x14ac:dyDescent="0.25">
      <c r="G1022" s="7"/>
      <c r="H1022" s="7"/>
      <c r="I1022" s="5"/>
      <c r="J1022" s="5"/>
    </row>
    <row r="1023" spans="7:10" x14ac:dyDescent="0.25">
      <c r="G1023" s="7"/>
      <c r="H1023" s="7"/>
      <c r="I1023" s="5"/>
      <c r="J1023" s="5"/>
    </row>
    <row r="1024" spans="7:10" x14ac:dyDescent="0.25">
      <c r="G1024" s="7"/>
      <c r="H1024" s="7"/>
      <c r="I1024" s="5"/>
      <c r="J1024" s="5"/>
    </row>
    <row r="1025" spans="7:10" x14ac:dyDescent="0.25">
      <c r="G1025" s="7"/>
      <c r="H1025" s="7"/>
      <c r="I1025" s="5"/>
      <c r="J1025" s="5"/>
    </row>
    <row r="1026" spans="7:10" x14ac:dyDescent="0.25">
      <c r="G1026" s="7"/>
      <c r="H1026" s="7"/>
      <c r="I1026" s="5"/>
      <c r="J1026" s="5"/>
    </row>
    <row r="1027" spans="7:10" x14ac:dyDescent="0.25">
      <c r="G1027" s="7"/>
      <c r="H1027" s="7"/>
      <c r="I1027" s="5"/>
      <c r="J1027" s="5"/>
    </row>
    <row r="1028" spans="7:10" x14ac:dyDescent="0.25">
      <c r="G1028" s="7"/>
      <c r="H1028" s="7"/>
      <c r="I1028" s="5"/>
      <c r="J1028" s="5"/>
    </row>
    <row r="1029" spans="7:10" x14ac:dyDescent="0.25">
      <c r="G1029" s="7"/>
      <c r="H1029" s="7"/>
      <c r="I1029" s="5"/>
      <c r="J1029" s="5"/>
    </row>
    <row r="1030" spans="7:10" x14ac:dyDescent="0.25">
      <c r="G1030" s="7"/>
      <c r="H1030" s="7"/>
      <c r="I1030" s="5"/>
      <c r="J1030" s="5"/>
    </row>
    <row r="1031" spans="7:10" x14ac:dyDescent="0.25">
      <c r="G1031" s="7"/>
      <c r="H1031" s="7"/>
      <c r="I1031" s="5"/>
      <c r="J1031" s="5"/>
    </row>
    <row r="1032" spans="7:10" x14ac:dyDescent="0.25">
      <c r="G1032" s="7"/>
      <c r="H1032" s="7"/>
      <c r="I1032" s="5"/>
      <c r="J1032" s="5"/>
    </row>
    <row r="1033" spans="7:10" x14ac:dyDescent="0.25">
      <c r="G1033" s="7"/>
      <c r="H1033" s="7"/>
      <c r="I1033" s="5"/>
      <c r="J1033" s="5"/>
    </row>
    <row r="1034" spans="7:10" x14ac:dyDescent="0.25">
      <c r="G1034" s="7"/>
      <c r="H1034" s="7"/>
      <c r="I1034" s="5"/>
      <c r="J1034" s="5"/>
    </row>
    <row r="1035" spans="7:10" x14ac:dyDescent="0.25">
      <c r="G1035" s="7"/>
      <c r="H1035" s="7"/>
      <c r="I1035" s="5"/>
      <c r="J1035" s="5"/>
    </row>
    <row r="1036" spans="7:10" x14ac:dyDescent="0.25">
      <c r="G1036" s="7"/>
      <c r="H1036" s="7"/>
      <c r="I1036" s="5"/>
      <c r="J1036" s="5"/>
    </row>
    <row r="1037" spans="7:10" x14ac:dyDescent="0.25">
      <c r="G1037" s="7"/>
      <c r="H1037" s="7"/>
      <c r="I1037" s="5"/>
      <c r="J1037" s="5"/>
    </row>
    <row r="1038" spans="7:10" x14ac:dyDescent="0.25">
      <c r="G1038" s="7"/>
      <c r="H1038" s="7"/>
      <c r="I1038" s="5"/>
      <c r="J1038" s="5"/>
    </row>
    <row r="1039" spans="7:10" x14ac:dyDescent="0.25">
      <c r="G1039" s="7"/>
      <c r="H1039" s="7"/>
      <c r="I1039" s="5"/>
      <c r="J1039" s="5"/>
    </row>
    <row r="1040" spans="7:10" x14ac:dyDescent="0.25">
      <c r="G1040" s="7"/>
      <c r="H1040" s="7"/>
      <c r="I1040" s="5"/>
      <c r="J1040" s="5"/>
    </row>
    <row r="1041" spans="7:10" x14ac:dyDescent="0.25">
      <c r="G1041" s="7"/>
      <c r="H1041" s="7"/>
      <c r="I1041" s="5"/>
      <c r="J1041" s="5"/>
    </row>
    <row r="1042" spans="7:10" x14ac:dyDescent="0.25">
      <c r="G1042" s="7"/>
      <c r="H1042" s="7"/>
      <c r="I1042" s="5"/>
      <c r="J1042" s="5"/>
    </row>
    <row r="1043" spans="7:10" x14ac:dyDescent="0.25">
      <c r="G1043" s="7"/>
      <c r="H1043" s="7"/>
      <c r="I1043" s="5"/>
      <c r="J1043" s="5"/>
    </row>
    <row r="1044" spans="7:10" x14ac:dyDescent="0.25">
      <c r="G1044" s="7"/>
      <c r="H1044" s="7"/>
      <c r="I1044" s="5"/>
      <c r="J1044" s="5"/>
    </row>
    <row r="1045" spans="7:10" x14ac:dyDescent="0.25">
      <c r="G1045" s="7"/>
      <c r="H1045" s="7"/>
      <c r="I1045" s="5"/>
      <c r="J1045" s="5"/>
    </row>
    <row r="1046" spans="7:10" x14ac:dyDescent="0.25">
      <c r="G1046" s="7"/>
      <c r="H1046" s="7"/>
      <c r="I1046" s="5"/>
      <c r="J1046" s="5"/>
    </row>
    <row r="1047" spans="7:10" x14ac:dyDescent="0.25">
      <c r="G1047" s="7"/>
      <c r="H1047" s="7"/>
      <c r="I1047" s="5"/>
      <c r="J1047" s="5"/>
    </row>
    <row r="1048" spans="7:10" x14ac:dyDescent="0.25">
      <c r="G1048" s="7"/>
      <c r="H1048" s="7"/>
      <c r="I1048" s="5"/>
      <c r="J1048" s="5"/>
    </row>
    <row r="1049" spans="7:10" x14ac:dyDescent="0.25">
      <c r="G1049" s="7"/>
      <c r="H1049" s="7"/>
      <c r="I1049" s="5"/>
      <c r="J1049" s="5"/>
    </row>
    <row r="1050" spans="7:10" x14ac:dyDescent="0.25">
      <c r="G1050" s="7"/>
      <c r="H1050" s="7"/>
      <c r="I1050" s="5"/>
      <c r="J1050" s="5"/>
    </row>
    <row r="1051" spans="7:10" x14ac:dyDescent="0.25">
      <c r="G1051" s="7"/>
      <c r="H1051" s="7"/>
      <c r="I1051" s="5"/>
      <c r="J1051" s="5"/>
    </row>
    <row r="1052" spans="7:10" x14ac:dyDescent="0.25">
      <c r="G1052" s="7"/>
      <c r="H1052" s="7"/>
      <c r="I1052" s="5"/>
      <c r="J1052" s="5"/>
    </row>
    <row r="1053" spans="7:10" x14ac:dyDescent="0.25">
      <c r="G1053" s="7"/>
      <c r="H1053" s="7"/>
      <c r="I1053" s="5"/>
      <c r="J1053" s="5"/>
    </row>
    <row r="1054" spans="7:10" x14ac:dyDescent="0.25">
      <c r="G1054" s="7"/>
      <c r="H1054" s="7"/>
      <c r="I1054" s="5"/>
      <c r="J1054" s="5"/>
    </row>
    <row r="1055" spans="7:10" x14ac:dyDescent="0.25">
      <c r="G1055" s="7"/>
      <c r="H1055" s="7"/>
    </row>
    <row r="1056" spans="7:10" x14ac:dyDescent="0.25">
      <c r="G1056" s="7"/>
      <c r="H1056" s="7"/>
    </row>
    <row r="1057" spans="7:8" x14ac:dyDescent="0.25">
      <c r="G1057" s="7"/>
      <c r="H1057" s="7"/>
    </row>
    <row r="1058" spans="7:8" x14ac:dyDescent="0.25">
      <c r="G1058" s="7"/>
      <c r="H1058" s="7"/>
    </row>
    <row r="1059" spans="7:8" x14ac:dyDescent="0.25">
      <c r="G1059" s="7"/>
      <c r="H1059" s="7"/>
    </row>
    <row r="1060" spans="7:8" x14ac:dyDescent="0.25">
      <c r="G1060" s="7"/>
      <c r="H1060" s="7"/>
    </row>
    <row r="1061" spans="7:8" x14ac:dyDescent="0.25">
      <c r="G1061" s="7"/>
      <c r="H1061" s="7"/>
    </row>
    <row r="1062" spans="7:8" x14ac:dyDescent="0.25">
      <c r="G1062" s="7"/>
      <c r="H1062" s="7"/>
    </row>
    <row r="1063" spans="7:8" x14ac:dyDescent="0.25">
      <c r="G1063" s="7"/>
      <c r="H1063" s="7"/>
    </row>
    <row r="1064" spans="7:8" x14ac:dyDescent="0.25">
      <c r="G1064" s="7"/>
      <c r="H1064" s="7"/>
    </row>
    <row r="1065" spans="7:8" x14ac:dyDescent="0.25">
      <c r="G1065" s="7"/>
      <c r="H1065" s="7"/>
    </row>
    <row r="1066" spans="7:8" x14ac:dyDescent="0.25">
      <c r="G1066" s="7"/>
      <c r="H1066" s="7"/>
    </row>
    <row r="1067" spans="7:8" x14ac:dyDescent="0.25">
      <c r="G1067" s="7"/>
      <c r="H1067" s="7"/>
    </row>
    <row r="1068" spans="7:8" x14ac:dyDescent="0.25">
      <c r="G1068" s="7"/>
      <c r="H1068" s="7"/>
    </row>
    <row r="1069" spans="7:8" x14ac:dyDescent="0.25">
      <c r="G1069" s="7"/>
      <c r="H1069" s="7"/>
    </row>
    <row r="1070" spans="7:8" x14ac:dyDescent="0.25">
      <c r="G1070" s="7"/>
      <c r="H1070" s="7"/>
    </row>
    <row r="1071" spans="7:8" x14ac:dyDescent="0.25">
      <c r="G1071" s="7"/>
      <c r="H1071" s="7"/>
    </row>
    <row r="1072" spans="7:8" x14ac:dyDescent="0.25">
      <c r="G1072" s="7"/>
      <c r="H1072" s="7"/>
    </row>
    <row r="1073" spans="7:8" x14ac:dyDescent="0.25">
      <c r="G1073" s="7"/>
      <c r="H1073" s="7"/>
    </row>
    <row r="1074" spans="7:8" x14ac:dyDescent="0.25">
      <c r="G1074" s="7"/>
      <c r="H1074" s="7"/>
    </row>
    <row r="1075" spans="7:8" x14ac:dyDescent="0.25">
      <c r="G1075" s="7"/>
      <c r="H1075" s="7"/>
    </row>
    <row r="1076" spans="7:8" x14ac:dyDescent="0.25">
      <c r="G1076" s="7"/>
      <c r="H1076" s="7"/>
    </row>
    <row r="1077" spans="7:8" x14ac:dyDescent="0.25">
      <c r="G1077" s="7"/>
      <c r="H1077" s="7"/>
    </row>
    <row r="1078" spans="7:8" x14ac:dyDescent="0.25">
      <c r="G1078" s="7"/>
      <c r="H1078" s="7"/>
    </row>
    <row r="1079" spans="7:8" x14ac:dyDescent="0.25">
      <c r="G1079" s="7"/>
      <c r="H1079" s="7"/>
    </row>
    <row r="1080" spans="7:8" x14ac:dyDescent="0.25">
      <c r="G1080" s="7"/>
      <c r="H1080" s="7"/>
    </row>
    <row r="1081" spans="7:8" x14ac:dyDescent="0.25">
      <c r="G1081" s="7"/>
      <c r="H1081" s="7"/>
    </row>
    <row r="1082" spans="7:8" x14ac:dyDescent="0.25">
      <c r="G1082" s="7"/>
      <c r="H1082" s="7"/>
    </row>
    <row r="1083" spans="7:8" x14ac:dyDescent="0.25">
      <c r="G1083" s="7"/>
      <c r="H1083" s="7"/>
    </row>
    <row r="1084" spans="7:8" x14ac:dyDescent="0.25">
      <c r="G1084" s="7"/>
      <c r="H1084" s="7"/>
    </row>
    <row r="1085" spans="7:8" x14ac:dyDescent="0.25">
      <c r="G1085" s="7"/>
      <c r="H1085" s="7"/>
    </row>
    <row r="1086" spans="7:8" x14ac:dyDescent="0.25">
      <c r="G1086" s="7"/>
      <c r="H1086" s="7"/>
    </row>
    <row r="1087" spans="7:8" x14ac:dyDescent="0.25">
      <c r="G1087" s="7"/>
      <c r="H1087" s="7"/>
    </row>
    <row r="1088" spans="7:8" x14ac:dyDescent="0.25">
      <c r="G1088" s="7"/>
      <c r="H1088" s="7"/>
    </row>
    <row r="1089" spans="7:8" x14ac:dyDescent="0.25">
      <c r="G1089" s="7"/>
      <c r="H1089" s="7"/>
    </row>
    <row r="1090" spans="7:8" x14ac:dyDescent="0.25">
      <c r="G1090" s="7"/>
      <c r="H1090" s="7"/>
    </row>
    <row r="1091" spans="7:8" x14ac:dyDescent="0.25">
      <c r="G1091" s="7"/>
      <c r="H1091" s="7"/>
    </row>
    <row r="1092" spans="7:8" x14ac:dyDescent="0.25">
      <c r="G1092" s="7"/>
      <c r="H1092" s="7"/>
    </row>
    <row r="1093" spans="7:8" x14ac:dyDescent="0.25">
      <c r="G1093" s="7"/>
      <c r="H1093" s="7"/>
    </row>
    <row r="1094" spans="7:8" x14ac:dyDescent="0.25">
      <c r="G1094" s="7"/>
      <c r="H1094" s="7"/>
    </row>
    <row r="1095" spans="7:8" x14ac:dyDescent="0.25">
      <c r="G1095" s="7"/>
      <c r="H1095" s="7"/>
    </row>
    <row r="1096" spans="7:8" x14ac:dyDescent="0.25">
      <c r="G1096" s="7"/>
      <c r="H1096" s="7"/>
    </row>
    <row r="1097" spans="7:8" x14ac:dyDescent="0.25">
      <c r="G1097" s="7"/>
      <c r="H1097" s="7"/>
    </row>
    <row r="1098" spans="7:8" x14ac:dyDescent="0.25">
      <c r="G1098" s="7"/>
      <c r="H1098" s="7"/>
    </row>
    <row r="1099" spans="7:8" x14ac:dyDescent="0.25">
      <c r="G1099" s="7"/>
      <c r="H1099" s="7"/>
    </row>
    <row r="1100" spans="7:8" x14ac:dyDescent="0.25">
      <c r="G1100" s="7"/>
      <c r="H1100" s="7"/>
    </row>
    <row r="1101" spans="7:8" x14ac:dyDescent="0.25">
      <c r="G1101" s="7"/>
      <c r="H1101" s="7"/>
    </row>
    <row r="1102" spans="7:8" x14ac:dyDescent="0.25">
      <c r="G1102" s="7"/>
      <c r="H1102" s="7"/>
    </row>
    <row r="1103" spans="7:8" x14ac:dyDescent="0.25">
      <c r="G1103" s="7"/>
      <c r="H1103" s="7"/>
    </row>
    <row r="1104" spans="7:8" x14ac:dyDescent="0.25">
      <c r="G1104" s="7"/>
      <c r="H1104" s="7"/>
    </row>
    <row r="1105" spans="7:8" x14ac:dyDescent="0.25">
      <c r="G1105" s="7"/>
      <c r="H1105" s="7"/>
    </row>
    <row r="1106" spans="7:8" x14ac:dyDescent="0.25">
      <c r="G1106" s="7"/>
      <c r="H1106" s="7"/>
    </row>
    <row r="1107" spans="7:8" x14ac:dyDescent="0.25">
      <c r="G1107" s="7"/>
      <c r="H1107" s="7"/>
    </row>
    <row r="1108" spans="7:8" x14ac:dyDescent="0.25">
      <c r="G1108" s="7"/>
      <c r="H1108" s="7"/>
    </row>
    <row r="1109" spans="7:8" x14ac:dyDescent="0.25">
      <c r="G1109" s="7"/>
      <c r="H1109" s="7"/>
    </row>
    <row r="1110" spans="7:8" x14ac:dyDescent="0.25">
      <c r="G1110" s="7"/>
      <c r="H1110" s="7"/>
    </row>
    <row r="1111" spans="7:8" x14ac:dyDescent="0.25">
      <c r="G1111" s="7"/>
      <c r="H1111" s="7"/>
    </row>
    <row r="1112" spans="7:8" x14ac:dyDescent="0.25">
      <c r="G1112" s="7"/>
      <c r="H1112" s="7"/>
    </row>
    <row r="1113" spans="7:8" x14ac:dyDescent="0.25">
      <c r="G1113" s="7"/>
      <c r="H1113" s="7"/>
    </row>
    <row r="1114" spans="7:8" x14ac:dyDescent="0.25">
      <c r="G1114" s="7"/>
      <c r="H1114" s="7"/>
    </row>
    <row r="1115" spans="7:8" x14ac:dyDescent="0.25">
      <c r="G1115" s="7"/>
      <c r="H1115" s="7"/>
    </row>
    <row r="1116" spans="7:8" x14ac:dyDescent="0.25">
      <c r="G1116" s="7"/>
      <c r="H1116" s="7"/>
    </row>
    <row r="1117" spans="7:8" x14ac:dyDescent="0.25">
      <c r="G1117" s="7"/>
      <c r="H1117" s="7"/>
    </row>
    <row r="1118" spans="7:8" x14ac:dyDescent="0.25">
      <c r="G1118" s="7"/>
      <c r="H1118" s="7"/>
    </row>
    <row r="1119" spans="7:8" x14ac:dyDescent="0.25">
      <c r="G1119" s="7"/>
      <c r="H1119" s="7"/>
    </row>
    <row r="1120" spans="7:8" x14ac:dyDescent="0.25">
      <c r="G1120" s="7"/>
      <c r="H1120" s="7"/>
    </row>
    <row r="1121" spans="7:8" x14ac:dyDescent="0.25">
      <c r="G1121" s="7"/>
      <c r="H1121" s="7"/>
    </row>
    <row r="1122" spans="7:8" x14ac:dyDescent="0.25">
      <c r="G1122" s="7"/>
      <c r="H1122" s="7"/>
    </row>
    <row r="1123" spans="7:8" x14ac:dyDescent="0.25">
      <c r="G1123" s="7"/>
      <c r="H1123" s="7"/>
    </row>
    <row r="1124" spans="7:8" x14ac:dyDescent="0.25">
      <c r="G1124" s="7"/>
      <c r="H1124" s="7"/>
    </row>
    <row r="1125" spans="7:8" x14ac:dyDescent="0.25">
      <c r="G1125" s="7"/>
      <c r="H1125" s="7"/>
    </row>
    <row r="1126" spans="7:8" x14ac:dyDescent="0.25">
      <c r="G1126" s="7"/>
      <c r="H1126" s="7"/>
    </row>
    <row r="1127" spans="7:8" x14ac:dyDescent="0.25">
      <c r="G1127" s="7"/>
      <c r="H1127" s="7"/>
    </row>
    <row r="1128" spans="7:8" x14ac:dyDescent="0.25">
      <c r="G1128" s="7"/>
      <c r="H1128" s="7"/>
    </row>
    <row r="1129" spans="7:8" x14ac:dyDescent="0.25">
      <c r="G1129" s="7"/>
      <c r="H1129" s="7"/>
    </row>
    <row r="1130" spans="7:8" x14ac:dyDescent="0.25">
      <c r="G1130" s="7"/>
      <c r="H1130" s="7"/>
    </row>
    <row r="1131" spans="7:8" x14ac:dyDescent="0.25">
      <c r="G1131" s="7"/>
      <c r="H1131" s="7"/>
    </row>
    <row r="1132" spans="7:8" x14ac:dyDescent="0.25">
      <c r="G1132" s="7"/>
      <c r="H1132" s="7"/>
    </row>
    <row r="1133" spans="7:8" x14ac:dyDescent="0.25">
      <c r="G1133" s="7"/>
      <c r="H1133" s="7"/>
    </row>
    <row r="1134" spans="7:8" x14ac:dyDescent="0.25">
      <c r="G1134" s="7"/>
      <c r="H1134" s="7"/>
    </row>
    <row r="1135" spans="7:8" x14ac:dyDescent="0.25">
      <c r="G1135" s="7"/>
      <c r="H1135" s="7"/>
    </row>
    <row r="1136" spans="7:8" x14ac:dyDescent="0.25">
      <c r="G1136" s="7"/>
      <c r="H1136" s="7"/>
    </row>
    <row r="1137" spans="7:8" x14ac:dyDescent="0.25">
      <c r="G1137" s="7"/>
      <c r="H1137" s="7"/>
    </row>
    <row r="1138" spans="7:8" x14ac:dyDescent="0.25">
      <c r="G1138" s="7"/>
      <c r="H1138" s="7"/>
    </row>
    <row r="1139" spans="7:8" x14ac:dyDescent="0.25">
      <c r="G1139" s="7"/>
      <c r="H1139" s="7"/>
    </row>
    <row r="1140" spans="7:8" x14ac:dyDescent="0.25">
      <c r="G1140" s="7"/>
      <c r="H1140" s="7"/>
    </row>
    <row r="1141" spans="7:8" x14ac:dyDescent="0.25">
      <c r="G1141" s="7"/>
      <c r="H1141" s="7"/>
    </row>
    <row r="1142" spans="7:8" x14ac:dyDescent="0.25">
      <c r="G1142" s="7"/>
      <c r="H1142" s="7"/>
    </row>
    <row r="1143" spans="7:8" x14ac:dyDescent="0.25">
      <c r="G1143" s="7"/>
      <c r="H1143" s="7"/>
    </row>
    <row r="1144" spans="7:8" x14ac:dyDescent="0.25">
      <c r="G1144" s="7"/>
      <c r="H1144" s="7"/>
    </row>
    <row r="1145" spans="7:8" x14ac:dyDescent="0.25">
      <c r="G1145" s="7"/>
      <c r="H1145" s="7"/>
    </row>
    <row r="1146" spans="7:8" x14ac:dyDescent="0.25">
      <c r="G1146" s="7"/>
      <c r="H1146" s="7"/>
    </row>
    <row r="1147" spans="7:8" x14ac:dyDescent="0.25">
      <c r="G1147" s="7"/>
      <c r="H1147" s="7"/>
    </row>
    <row r="1148" spans="7:8" x14ac:dyDescent="0.25">
      <c r="G1148" s="7"/>
      <c r="H1148" s="7"/>
    </row>
    <row r="1149" spans="7:8" x14ac:dyDescent="0.25">
      <c r="G1149" s="7"/>
      <c r="H1149" s="7"/>
    </row>
    <row r="1150" spans="7:8" x14ac:dyDescent="0.25">
      <c r="G1150" s="7"/>
      <c r="H1150" s="7"/>
    </row>
    <row r="1151" spans="7:8" x14ac:dyDescent="0.25">
      <c r="G1151" s="7"/>
      <c r="H1151" s="7"/>
    </row>
    <row r="1152" spans="7:8" x14ac:dyDescent="0.25">
      <c r="G1152" s="7"/>
      <c r="H1152" s="7"/>
    </row>
    <row r="1153" spans="7:8" x14ac:dyDescent="0.25">
      <c r="G1153" s="7"/>
      <c r="H1153" s="7"/>
    </row>
    <row r="1154" spans="7:8" x14ac:dyDescent="0.25">
      <c r="G1154" s="7"/>
      <c r="H1154" s="7"/>
    </row>
    <row r="1155" spans="7:8" x14ac:dyDescent="0.25">
      <c r="G1155" s="7"/>
      <c r="H1155" s="7"/>
    </row>
    <row r="1156" spans="7:8" x14ac:dyDescent="0.25">
      <c r="G1156" s="7"/>
      <c r="H1156" s="7"/>
    </row>
    <row r="1157" spans="7:8" x14ac:dyDescent="0.25">
      <c r="G1157" s="7"/>
      <c r="H1157" s="7"/>
    </row>
    <row r="1158" spans="7:8" x14ac:dyDescent="0.25">
      <c r="G1158" s="7"/>
      <c r="H1158" s="7"/>
    </row>
    <row r="1159" spans="7:8" x14ac:dyDescent="0.25">
      <c r="G1159" s="7"/>
      <c r="H1159" s="7"/>
    </row>
    <row r="1160" spans="7:8" x14ac:dyDescent="0.25">
      <c r="G1160" s="7"/>
      <c r="H1160" s="7"/>
    </row>
    <row r="1161" spans="7:8" x14ac:dyDescent="0.25">
      <c r="G1161" s="7"/>
      <c r="H1161" s="7"/>
    </row>
    <row r="1162" spans="7:8" x14ac:dyDescent="0.25">
      <c r="G1162" s="7"/>
      <c r="H1162" s="7"/>
    </row>
    <row r="1163" spans="7:8" x14ac:dyDescent="0.25">
      <c r="G1163" s="7"/>
      <c r="H1163" s="7"/>
    </row>
    <row r="1164" spans="7:8" x14ac:dyDescent="0.25">
      <c r="G1164" s="7"/>
      <c r="H1164" s="7"/>
    </row>
    <row r="1165" spans="7:8" x14ac:dyDescent="0.25">
      <c r="G1165" s="7"/>
      <c r="H1165" s="7"/>
    </row>
    <row r="1166" spans="7:8" x14ac:dyDescent="0.25">
      <c r="G1166" s="7"/>
      <c r="H1166" s="7"/>
    </row>
    <row r="1167" spans="7:8" x14ac:dyDescent="0.25">
      <c r="G1167" s="7"/>
      <c r="H1167" s="7"/>
    </row>
    <row r="1168" spans="7:8" x14ac:dyDescent="0.25">
      <c r="G1168" s="7"/>
      <c r="H1168" s="7"/>
    </row>
    <row r="1169" spans="7:8" x14ac:dyDescent="0.25">
      <c r="G1169" s="7"/>
      <c r="H1169" s="7"/>
    </row>
    <row r="1170" spans="7:8" x14ac:dyDescent="0.25">
      <c r="G1170" s="7"/>
      <c r="H1170" s="7"/>
    </row>
    <row r="1171" spans="7:8" x14ac:dyDescent="0.25">
      <c r="G1171" s="7"/>
      <c r="H1171" s="7"/>
    </row>
    <row r="1172" spans="7:8" x14ac:dyDescent="0.25">
      <c r="G1172" s="7"/>
      <c r="H1172" s="7"/>
    </row>
    <row r="1173" spans="7:8" x14ac:dyDescent="0.25">
      <c r="G1173" s="7"/>
      <c r="H1173" s="7"/>
    </row>
    <row r="1174" spans="7:8" x14ac:dyDescent="0.25">
      <c r="G1174" s="7"/>
      <c r="H1174" s="7"/>
    </row>
    <row r="1175" spans="7:8" x14ac:dyDescent="0.25">
      <c r="G1175" s="7"/>
      <c r="H1175" s="7"/>
    </row>
    <row r="1176" spans="7:8" x14ac:dyDescent="0.25">
      <c r="G1176" s="7"/>
      <c r="H1176" s="7"/>
    </row>
    <row r="1177" spans="7:8" x14ac:dyDescent="0.25">
      <c r="G1177" s="7"/>
      <c r="H1177" s="7"/>
    </row>
    <row r="1178" spans="7:8" x14ac:dyDescent="0.25">
      <c r="G1178" s="7"/>
      <c r="H1178" s="7"/>
    </row>
    <row r="1179" spans="7:8" x14ac:dyDescent="0.25">
      <c r="G1179" s="7"/>
      <c r="H1179" s="7"/>
    </row>
    <row r="1180" spans="7:8" x14ac:dyDescent="0.25">
      <c r="G1180" s="7"/>
      <c r="H1180" s="7"/>
    </row>
    <row r="1181" spans="7:8" x14ac:dyDescent="0.25">
      <c r="G1181" s="7"/>
      <c r="H1181" s="7"/>
    </row>
    <row r="1182" spans="7:8" x14ac:dyDescent="0.25">
      <c r="G1182" s="7"/>
      <c r="H1182" s="7"/>
    </row>
    <row r="1183" spans="7:8" x14ac:dyDescent="0.25">
      <c r="G1183" s="7"/>
      <c r="H1183" s="7"/>
    </row>
    <row r="1184" spans="7:8" x14ac:dyDescent="0.25">
      <c r="G1184" s="7"/>
      <c r="H1184" s="7"/>
    </row>
    <row r="1185" spans="7:8" x14ac:dyDescent="0.25">
      <c r="G1185" s="7"/>
      <c r="H1185" s="7"/>
    </row>
    <row r="1186" spans="7:8" x14ac:dyDescent="0.25">
      <c r="G1186" s="7"/>
      <c r="H1186" s="7"/>
    </row>
    <row r="1187" spans="7:8" x14ac:dyDescent="0.25">
      <c r="G1187" s="7"/>
      <c r="H1187" s="7"/>
    </row>
    <row r="1188" spans="7:8" x14ac:dyDescent="0.25">
      <c r="G1188" s="7"/>
      <c r="H1188" s="7"/>
    </row>
    <row r="1189" spans="7:8" x14ac:dyDescent="0.25">
      <c r="G1189" s="7"/>
      <c r="H1189" s="7"/>
    </row>
    <row r="1190" spans="7:8" x14ac:dyDescent="0.25">
      <c r="G1190" s="7"/>
      <c r="H1190" s="7"/>
    </row>
    <row r="1191" spans="7:8" x14ac:dyDescent="0.25">
      <c r="G1191" s="7"/>
      <c r="H1191" s="7"/>
    </row>
    <row r="1192" spans="7:8" x14ac:dyDescent="0.25">
      <c r="G1192" s="7"/>
      <c r="H1192" s="7"/>
    </row>
    <row r="1193" spans="7:8" x14ac:dyDescent="0.25">
      <c r="G1193" s="7"/>
      <c r="H1193" s="7"/>
    </row>
    <row r="1194" spans="7:8" x14ac:dyDescent="0.25">
      <c r="G1194" s="7"/>
      <c r="H1194" s="7"/>
    </row>
    <row r="1195" spans="7:8" x14ac:dyDescent="0.25">
      <c r="G1195" s="7"/>
      <c r="H1195" s="7"/>
    </row>
    <row r="1196" spans="7:8" x14ac:dyDescent="0.25">
      <c r="G1196" s="7"/>
      <c r="H1196" s="7"/>
    </row>
    <row r="1197" spans="7:8" x14ac:dyDescent="0.25">
      <c r="G1197" s="7"/>
      <c r="H1197" s="7"/>
    </row>
    <row r="1198" spans="7:8" x14ac:dyDescent="0.25">
      <c r="G1198" s="7"/>
      <c r="H1198" s="7"/>
    </row>
    <row r="1199" spans="7:8" x14ac:dyDescent="0.25">
      <c r="G1199" s="7"/>
      <c r="H1199" s="7"/>
    </row>
    <row r="1200" spans="7:8" x14ac:dyDescent="0.25">
      <c r="G1200" s="7"/>
      <c r="H1200" s="7"/>
    </row>
    <row r="1201" spans="7:8" x14ac:dyDescent="0.25">
      <c r="G1201" s="7"/>
      <c r="H1201" s="7"/>
    </row>
    <row r="1202" spans="7:8" x14ac:dyDescent="0.25">
      <c r="G1202" s="7"/>
      <c r="H1202" s="7"/>
    </row>
    <row r="1203" spans="7:8" x14ac:dyDescent="0.25">
      <c r="G1203" s="7"/>
      <c r="H1203" s="7"/>
    </row>
    <row r="1204" spans="7:8" x14ac:dyDescent="0.25">
      <c r="G1204" s="7"/>
      <c r="H1204" s="7"/>
    </row>
    <row r="1205" spans="7:8" x14ac:dyDescent="0.25">
      <c r="G1205" s="7"/>
      <c r="H1205" s="7"/>
    </row>
    <row r="1206" spans="7:8" x14ac:dyDescent="0.25">
      <c r="G1206" s="7"/>
      <c r="H1206" s="7"/>
    </row>
    <row r="1207" spans="7:8" x14ac:dyDescent="0.25">
      <c r="G1207" s="7"/>
      <c r="H1207" s="7"/>
    </row>
    <row r="1208" spans="7:8" x14ac:dyDescent="0.25">
      <c r="G1208" s="7"/>
      <c r="H1208" s="7"/>
    </row>
    <row r="1209" spans="7:8" x14ac:dyDescent="0.25">
      <c r="G1209" s="7"/>
      <c r="H1209" s="7"/>
    </row>
    <row r="1210" spans="7:8" x14ac:dyDescent="0.25">
      <c r="G1210" s="7"/>
      <c r="H1210" s="7"/>
    </row>
    <row r="1211" spans="7:8" x14ac:dyDescent="0.25">
      <c r="G1211" s="7"/>
      <c r="H1211" s="7"/>
    </row>
    <row r="1212" spans="7:8" x14ac:dyDescent="0.25">
      <c r="G1212" s="7"/>
      <c r="H1212" s="7"/>
    </row>
    <row r="1213" spans="7:8" x14ac:dyDescent="0.25">
      <c r="G1213" s="7"/>
      <c r="H1213" s="7"/>
    </row>
    <row r="1214" spans="7:8" x14ac:dyDescent="0.25">
      <c r="G1214" s="7"/>
      <c r="H1214" s="7"/>
    </row>
    <row r="1215" spans="7:8" x14ac:dyDescent="0.25">
      <c r="G1215" s="7"/>
      <c r="H1215" s="7"/>
    </row>
    <row r="1216" spans="7:8" x14ac:dyDescent="0.25">
      <c r="G1216" s="7"/>
      <c r="H1216" s="7"/>
    </row>
    <row r="1217" spans="7:8" x14ac:dyDescent="0.25">
      <c r="G1217" s="7"/>
      <c r="H1217" s="7"/>
    </row>
    <row r="1218" spans="7:8" x14ac:dyDescent="0.25">
      <c r="G1218" s="7"/>
      <c r="H1218" s="7"/>
    </row>
    <row r="1219" spans="7:8" x14ac:dyDescent="0.25">
      <c r="G1219" s="7"/>
      <c r="H1219" s="7"/>
    </row>
    <row r="1220" spans="7:8" x14ac:dyDescent="0.25">
      <c r="G1220" s="7"/>
      <c r="H1220" s="7"/>
    </row>
    <row r="1221" spans="7:8" x14ac:dyDescent="0.25">
      <c r="G1221" s="7"/>
      <c r="H1221" s="7"/>
    </row>
    <row r="1222" spans="7:8" x14ac:dyDescent="0.25">
      <c r="G1222" s="7"/>
      <c r="H1222" s="7"/>
    </row>
    <row r="1223" spans="7:8" x14ac:dyDescent="0.25">
      <c r="G1223" s="7"/>
      <c r="H1223" s="7"/>
    </row>
    <row r="1224" spans="7:8" x14ac:dyDescent="0.25">
      <c r="G1224" s="7"/>
      <c r="H1224" s="7"/>
    </row>
    <row r="1225" spans="7:8" x14ac:dyDescent="0.25">
      <c r="G1225" s="7"/>
      <c r="H1225" s="7"/>
    </row>
    <row r="1226" spans="7:8" x14ac:dyDescent="0.25">
      <c r="G1226" s="7"/>
      <c r="H1226" s="7"/>
    </row>
    <row r="1227" spans="7:8" x14ac:dyDescent="0.25">
      <c r="G1227" s="7"/>
      <c r="H1227" s="7"/>
    </row>
    <row r="1228" spans="7:8" x14ac:dyDescent="0.25">
      <c r="G1228" s="7"/>
      <c r="H1228" s="7"/>
    </row>
    <row r="1229" spans="7:8" x14ac:dyDescent="0.25">
      <c r="G1229" s="7"/>
      <c r="H1229" s="7"/>
    </row>
    <row r="1230" spans="7:8" x14ac:dyDescent="0.25">
      <c r="G1230" s="7"/>
      <c r="H1230" s="7"/>
    </row>
    <row r="1231" spans="7:8" x14ac:dyDescent="0.25">
      <c r="G1231" s="7"/>
      <c r="H1231" s="7"/>
    </row>
    <row r="1232" spans="7:8" x14ac:dyDescent="0.25">
      <c r="G1232" s="7"/>
      <c r="H1232" s="7"/>
    </row>
    <row r="1233" spans="7:8" x14ac:dyDescent="0.25">
      <c r="G1233" s="7"/>
      <c r="H1233" s="7"/>
    </row>
    <row r="1234" spans="7:8" x14ac:dyDescent="0.25">
      <c r="G1234" s="7"/>
      <c r="H1234" s="7"/>
    </row>
    <row r="1235" spans="7:8" x14ac:dyDescent="0.25">
      <c r="G1235" s="7"/>
      <c r="H1235" s="7"/>
    </row>
    <row r="1236" spans="7:8" x14ac:dyDescent="0.25">
      <c r="G1236" s="7"/>
      <c r="H1236" s="7"/>
    </row>
    <row r="1237" spans="7:8" x14ac:dyDescent="0.25">
      <c r="G1237" s="7"/>
      <c r="H1237" s="7"/>
    </row>
    <row r="1238" spans="7:8" x14ac:dyDescent="0.25">
      <c r="G1238" s="7"/>
      <c r="H1238" s="7"/>
    </row>
    <row r="1239" spans="7:8" x14ac:dyDescent="0.25">
      <c r="G1239" s="7"/>
      <c r="H1239" s="7"/>
    </row>
    <row r="1240" spans="7:8" x14ac:dyDescent="0.25">
      <c r="G1240" s="7"/>
      <c r="H1240" s="7"/>
    </row>
    <row r="1241" spans="7:8" x14ac:dyDescent="0.25">
      <c r="G1241" s="7"/>
      <c r="H1241" s="7"/>
    </row>
    <row r="1242" spans="7:8" x14ac:dyDescent="0.25">
      <c r="G1242" s="7"/>
      <c r="H1242" s="7"/>
    </row>
    <row r="1243" spans="7:8" x14ac:dyDescent="0.25">
      <c r="G1243" s="7"/>
      <c r="H1243" s="7"/>
    </row>
    <row r="1244" spans="7:8" x14ac:dyDescent="0.25">
      <c r="G1244" s="7"/>
      <c r="H1244" s="7"/>
    </row>
    <row r="1245" spans="7:8" x14ac:dyDescent="0.25">
      <c r="G1245" s="7"/>
      <c r="H1245" s="7"/>
    </row>
    <row r="1246" spans="7:8" x14ac:dyDescent="0.25">
      <c r="G1246" s="7"/>
      <c r="H1246" s="7"/>
    </row>
    <row r="1247" spans="7:8" x14ac:dyDescent="0.25">
      <c r="G1247" s="7"/>
      <c r="H1247" s="7"/>
    </row>
    <row r="1248" spans="7:8" x14ac:dyDescent="0.25">
      <c r="G1248" s="7"/>
      <c r="H1248" s="7"/>
    </row>
    <row r="1249" spans="7:8" x14ac:dyDescent="0.25">
      <c r="G1249" s="7"/>
      <c r="H1249" s="7"/>
    </row>
    <row r="1250" spans="7:8" x14ac:dyDescent="0.25">
      <c r="G1250" s="7"/>
      <c r="H1250" s="7"/>
    </row>
    <row r="1251" spans="7:8" x14ac:dyDescent="0.25">
      <c r="G1251" s="7"/>
      <c r="H1251" s="7"/>
    </row>
    <row r="1252" spans="7:8" x14ac:dyDescent="0.25">
      <c r="G1252" s="7"/>
      <c r="H1252" s="7"/>
    </row>
    <row r="1253" spans="7:8" x14ac:dyDescent="0.25">
      <c r="G1253" s="7"/>
      <c r="H1253" s="7"/>
    </row>
    <row r="1254" spans="7:8" x14ac:dyDescent="0.25">
      <c r="G1254" s="7"/>
      <c r="H1254" s="7"/>
    </row>
    <row r="1255" spans="7:8" x14ac:dyDescent="0.25">
      <c r="G1255" s="7"/>
      <c r="H1255" s="7"/>
    </row>
  </sheetData>
  <conditionalFormatting sqref="I2:I1000">
    <cfRule type="dataBar" priority="3">
      <dataBar>
        <cfvo type="min"/>
        <cfvo type="max"/>
        <color rgb="FFF6B400"/>
      </dataBar>
      <extLst>
        <ext xmlns:x14="http://schemas.microsoft.com/office/spreadsheetml/2009/9/main" uri="{B025F937-C7B1-47D3-B67F-A62EFF666E3E}">
          <x14:id>{09CA4D9F-E7C1-4DBA-9EBF-9729D86ECD13}</x14:id>
        </ext>
      </extLst>
    </cfRule>
  </conditionalFormatting>
  <conditionalFormatting sqref="I499:I1000">
    <cfRule type="expression" dxfId="0" priority="12">
      <formula>AND($I498=0,$I498&lt;&gt;"")</formula>
    </cfRule>
    <cfRule type="dataBar" priority="13">
      <dataBar>
        <cfvo type="min"/>
        <cfvo type="max"/>
        <color theme="4" tint="0.39997558519241921"/>
      </dataBar>
      <extLst>
        <ext xmlns:x14="http://schemas.microsoft.com/office/spreadsheetml/2009/9/main" uri="{B025F937-C7B1-47D3-B67F-A62EFF666E3E}">
          <x14:id>{EE54ACA6-814D-4478-BC47-C049DA9191B1}</x14:id>
        </ext>
      </extLst>
    </cfRule>
  </conditionalFormatting>
  <dataValidations count="2">
    <dataValidation allowBlank="1" showInputMessage="1" showErrorMessage="1" prompt="Seleccione el porcentaje completado en esta columna. Pulse ALT+FLECHA ABAJO para abrir la lista desplegable y después ENTRAR para realizar la selección. Una barra de estado indica el progreso hasta la finalización." sqref="I1:J1" xr:uid="{00000000-0002-0000-0300-000000000000}"/>
    <dataValidation type="list" allowBlank="1" showInputMessage="1" showErrorMessage="1" sqref="I2:I666 J499:J666" xr:uid="{00000000-0002-0000-0300-000001000000}">
      <formula1>"0%, 25%, 50%, 75%, 100%"</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9CA4D9F-E7C1-4DBA-9EBF-9729D86ECD13}">
            <x14:dataBar minLength="0" maxLength="100" gradient="0">
              <x14:cfvo type="autoMin"/>
              <x14:cfvo type="autoMax"/>
              <x14:negativeFillColor rgb="FFFF0000"/>
              <x14:axisColor rgb="FF000000"/>
            </x14:dataBar>
          </x14:cfRule>
          <xm:sqref>I2:I1000</xm:sqref>
        </x14:conditionalFormatting>
        <x14:conditionalFormatting xmlns:xm="http://schemas.microsoft.com/office/excel/2006/main">
          <x14:cfRule type="dataBar" id="{EE54ACA6-814D-4478-BC47-C049DA9191B1}">
            <x14:dataBar minLength="0" maxLength="100" gradient="0">
              <x14:cfvo type="autoMin"/>
              <x14:cfvo type="autoMax"/>
              <x14:negativeFillColor rgb="FFFF0000"/>
              <x14:axisColor rgb="FF000000"/>
            </x14:dataBar>
          </x14:cfRule>
          <xm:sqref>I499:I1000</xm:sqref>
        </x14:conditionalFormatting>
        <x14:conditionalFormatting xmlns:xm="http://schemas.microsoft.com/office/excel/2006/main">
          <x14:cfRule type="iconSet" priority="1" id="{E0062B27-C694-4F5F-99D6-1E481B4E4047}">
            <x14:iconSet iconSet="3Symbols" showValue="0" custom="1">
              <x14:cfvo type="percent">
                <xm:f>0</xm:f>
              </x14:cfvo>
              <x14:cfvo type="percent">
                <xm:f>0</xm:f>
              </x14:cfvo>
              <x14:cfvo type="percent">
                <xm:f>100</xm:f>
              </x14:cfvo>
              <x14:cfIcon iconSet="3Symbols" iconId="0"/>
              <x14:cfIcon iconSet="NoIcons" iconId="0"/>
              <x14:cfIcon iconSet="3Symbols" iconId="2"/>
            </x14:iconSet>
          </x14:cfRule>
          <xm:sqref>J2:J499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4000000}">
          <x14:formula1>
            <xm:f>VALD!$I$2:$I$25</xm:f>
          </x14:formula1>
          <xm:sqref>G500:H1042</xm:sqref>
        </x14:dataValidation>
        <x14:dataValidation type="list" allowBlank="1" showInputMessage="1" showErrorMessage="1" xr:uid="{00000000-0002-0000-0300-000005000000}">
          <x14:formula1>
            <xm:f>VALD!#REF!</xm:f>
          </x14:formula1>
          <xm:sqref>A2:A378 E2:E502 F2:F449</xm:sqref>
        </x14:dataValidation>
        <x14:dataValidation type="date" allowBlank="1" showInputMessage="1" showErrorMessage="1" xr:uid="{00000000-0002-0000-0300-000006000000}">
          <x14:formula1>
            <xm:f>VALD!B1</xm:f>
          </x14:formula1>
          <x14:formula2>
            <xm:f>VALD!B2</xm:f>
          </x14:formula2>
          <xm:sqref>G2:H499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25"/>
  <sheetViews>
    <sheetView zoomScale="70" zoomScaleNormal="70" workbookViewId="0">
      <selection activeCell="H2" sqref="H2:L2"/>
    </sheetView>
  </sheetViews>
  <sheetFormatPr baseColWidth="10" defaultColWidth="11.42578125" defaultRowHeight="15" x14ac:dyDescent="0.25"/>
  <cols>
    <col min="5" max="5" width="17.85546875" customWidth="1"/>
    <col min="11" max="11" width="24.140625" customWidth="1"/>
  </cols>
  <sheetData>
    <row r="1" spans="2:15" ht="36" customHeight="1" x14ac:dyDescent="0.25">
      <c r="B1" s="6">
        <v>43101</v>
      </c>
      <c r="I1" s="26" t="s">
        <v>295</v>
      </c>
      <c r="K1" s="27" t="s">
        <v>296</v>
      </c>
    </row>
    <row r="2" spans="2:15" x14ac:dyDescent="0.25">
      <c r="B2" s="6">
        <v>43465</v>
      </c>
      <c r="I2" s="4" t="s">
        <v>297</v>
      </c>
      <c r="K2" s="8">
        <v>0</v>
      </c>
      <c r="N2" t="s">
        <v>58</v>
      </c>
    </row>
    <row r="3" spans="2:15" ht="69.75" customHeight="1" x14ac:dyDescent="0.25">
      <c r="I3" s="4" t="s">
        <v>298</v>
      </c>
      <c r="K3" s="8">
        <v>0.25</v>
      </c>
      <c r="N3" t="s">
        <v>299</v>
      </c>
      <c r="O3">
        <v>1</v>
      </c>
    </row>
    <row r="4" spans="2:15" ht="52.5" customHeight="1" x14ac:dyDescent="0.25">
      <c r="I4" s="4" t="s">
        <v>300</v>
      </c>
      <c r="K4" s="8">
        <v>0.5</v>
      </c>
      <c r="N4" t="s">
        <v>301</v>
      </c>
      <c r="O4">
        <v>2</v>
      </c>
    </row>
    <row r="5" spans="2:15" ht="47.25" customHeight="1" x14ac:dyDescent="0.25">
      <c r="I5" s="4" t="s">
        <v>302</v>
      </c>
      <c r="K5" s="8">
        <v>0.75</v>
      </c>
      <c r="N5" t="s">
        <v>303</v>
      </c>
      <c r="O5">
        <v>0</v>
      </c>
    </row>
    <row r="6" spans="2:15" ht="126" customHeight="1" x14ac:dyDescent="0.25">
      <c r="I6" s="4" t="s">
        <v>304</v>
      </c>
      <c r="K6" s="8">
        <v>1</v>
      </c>
      <c r="N6" t="s">
        <v>305</v>
      </c>
      <c r="O6">
        <v>0</v>
      </c>
    </row>
    <row r="7" spans="2:15" ht="153.75" customHeight="1" x14ac:dyDescent="0.25">
      <c r="I7" s="4" t="s">
        <v>306</v>
      </c>
    </row>
    <row r="8" spans="2:15" x14ac:dyDescent="0.25">
      <c r="I8" s="4" t="s">
        <v>307</v>
      </c>
    </row>
    <row r="9" spans="2:15" x14ac:dyDescent="0.25">
      <c r="I9" s="4" t="s">
        <v>308</v>
      </c>
    </row>
    <row r="10" spans="2:15" x14ac:dyDescent="0.25">
      <c r="I10" s="4" t="s">
        <v>309</v>
      </c>
      <c r="K10" s="17"/>
    </row>
    <row r="11" spans="2:15" x14ac:dyDescent="0.25">
      <c r="I11" s="4" t="s">
        <v>310</v>
      </c>
    </row>
    <row r="12" spans="2:15" x14ac:dyDescent="0.25">
      <c r="I12" s="4" t="s">
        <v>311</v>
      </c>
    </row>
    <row r="13" spans="2:15" x14ac:dyDescent="0.25">
      <c r="I13" s="4" t="s">
        <v>312</v>
      </c>
    </row>
    <row r="14" spans="2:15" x14ac:dyDescent="0.25">
      <c r="I14" s="4" t="s">
        <v>297</v>
      </c>
    </row>
    <row r="15" spans="2:15" x14ac:dyDescent="0.25">
      <c r="I15" s="4" t="s">
        <v>298</v>
      </c>
    </row>
    <row r="16" spans="2:15" x14ac:dyDescent="0.25">
      <c r="I16" s="4" t="s">
        <v>300</v>
      </c>
    </row>
    <row r="17" spans="9:9" x14ac:dyDescent="0.25">
      <c r="I17" s="4" t="s">
        <v>302</v>
      </c>
    </row>
    <row r="18" spans="9:9" x14ac:dyDescent="0.25">
      <c r="I18" s="4" t="s">
        <v>304</v>
      </c>
    </row>
    <row r="19" spans="9:9" x14ac:dyDescent="0.25">
      <c r="I19" s="4" t="s">
        <v>306</v>
      </c>
    </row>
    <row r="20" spans="9:9" x14ac:dyDescent="0.25">
      <c r="I20" s="4" t="s">
        <v>307</v>
      </c>
    </row>
    <row r="21" spans="9:9" x14ac:dyDescent="0.25">
      <c r="I21" s="4" t="s">
        <v>308</v>
      </c>
    </row>
    <row r="22" spans="9:9" x14ac:dyDescent="0.25">
      <c r="I22" s="4" t="s">
        <v>309</v>
      </c>
    </row>
    <row r="23" spans="9:9" x14ac:dyDescent="0.25">
      <c r="I23" s="4" t="s">
        <v>310</v>
      </c>
    </row>
    <row r="24" spans="9:9" x14ac:dyDescent="0.25">
      <c r="I24" s="4" t="s">
        <v>311</v>
      </c>
    </row>
    <row r="25" spans="9:9" x14ac:dyDescent="0.25">
      <c r="I25" s="4" t="s">
        <v>312</v>
      </c>
    </row>
  </sheetData>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3" id="{B7270040-737A-4D14-92C2-622260DB459B}">
            <x14:iconSet iconSet="3Triangles">
              <x14:cfvo type="percent">
                <xm:f>0</xm:f>
              </x14:cfvo>
              <x14:cfvo type="percent">
                <xm:f>33</xm:f>
              </x14:cfvo>
              <x14:cfvo type="percent">
                <xm:f>67</xm:f>
              </x14:cfvo>
            </x14:iconSet>
          </x14:cfRule>
          <xm:sqref>D2:D5</xm:sqref>
        </x14:conditionalFormatting>
        <x14:conditionalFormatting xmlns:xm="http://schemas.microsoft.com/office/excel/2006/main">
          <x14:cfRule type="iconSet" priority="1" id="{EBA1D5A1-F8E3-4154-A3E0-08A9D41DBDFC}">
            <x14:iconSet iconSet="3Triangles">
              <x14:cfvo type="percent">
                <xm:f>0</xm:f>
              </x14:cfvo>
              <x14:cfvo type="num">
                <xm:f>1</xm:f>
              </x14:cfvo>
              <x14:cfvo type="num">
                <xm:f>2</xm:f>
              </x14:cfvo>
            </x14:iconSet>
          </x14:cfRule>
          <xm:sqref>N3:O6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F94"/>
  <sheetViews>
    <sheetView topLeftCell="B40" zoomScale="70" zoomScaleNormal="70" workbookViewId="0">
      <selection activeCell="E46" sqref="E46"/>
    </sheetView>
  </sheetViews>
  <sheetFormatPr baseColWidth="10" defaultColWidth="11.42578125" defaultRowHeight="15" x14ac:dyDescent="0.25"/>
  <cols>
    <col min="1" max="1" width="65.42578125" customWidth="1"/>
    <col min="2" max="2" width="113.140625" bestFit="1" customWidth="1"/>
    <col min="3" max="3" width="35.85546875" bestFit="1" customWidth="1"/>
    <col min="4" max="4" width="14" customWidth="1"/>
    <col min="5" max="5" width="38.42578125" customWidth="1"/>
    <col min="6" max="6" width="58.85546875" customWidth="1"/>
    <col min="7" max="7" width="14.7109375" customWidth="1"/>
    <col min="8" max="8" width="18.5703125" bestFit="1" customWidth="1"/>
    <col min="9" max="9" width="19" bestFit="1" customWidth="1"/>
    <col min="10" max="10" width="19.7109375" bestFit="1" customWidth="1"/>
  </cols>
  <sheetData>
    <row r="4" spans="1:3" x14ac:dyDescent="0.25">
      <c r="A4" s="2"/>
      <c r="B4" s="14" t="s">
        <v>313</v>
      </c>
      <c r="C4" t="s">
        <v>314</v>
      </c>
    </row>
    <row r="5" spans="1:3" x14ac:dyDescent="0.25">
      <c r="A5" s="2"/>
      <c r="B5" s="2" t="s">
        <v>43</v>
      </c>
      <c r="C5" s="15">
        <v>0</v>
      </c>
    </row>
    <row r="6" spans="1:3" x14ac:dyDescent="0.25">
      <c r="A6" s="2"/>
      <c r="B6" s="2" t="s">
        <v>36</v>
      </c>
      <c r="C6" s="15">
        <v>0</v>
      </c>
    </row>
    <row r="7" spans="1:3" x14ac:dyDescent="0.25">
      <c r="A7" s="2"/>
      <c r="B7" s="2" t="s">
        <v>40</v>
      </c>
      <c r="C7" s="15">
        <v>0</v>
      </c>
    </row>
    <row r="8" spans="1:3" x14ac:dyDescent="0.25">
      <c r="A8" s="2"/>
      <c r="B8" s="2" t="s">
        <v>47</v>
      </c>
      <c r="C8" s="15">
        <v>0</v>
      </c>
    </row>
    <row r="9" spans="1:3" x14ac:dyDescent="0.25">
      <c r="A9" s="2"/>
      <c r="B9" s="2" t="s">
        <v>45</v>
      </c>
      <c r="C9" s="15">
        <v>0</v>
      </c>
    </row>
    <row r="10" spans="1:3" x14ac:dyDescent="0.25">
      <c r="A10" s="2"/>
      <c r="B10" s="2" t="s">
        <v>55</v>
      </c>
      <c r="C10" s="15">
        <v>0</v>
      </c>
    </row>
    <row r="11" spans="1:3" x14ac:dyDescent="0.25">
      <c r="A11" s="2"/>
      <c r="B11" s="29" t="s">
        <v>41</v>
      </c>
      <c r="C11" s="15">
        <v>0</v>
      </c>
    </row>
    <row r="12" spans="1:3" x14ac:dyDescent="0.25">
      <c r="A12" s="2"/>
      <c r="B12" s="2" t="s">
        <v>46</v>
      </c>
      <c r="C12" s="15">
        <v>0</v>
      </c>
    </row>
    <row r="13" spans="1:3" x14ac:dyDescent="0.25">
      <c r="A13" s="2"/>
      <c r="B13" s="2" t="s">
        <v>50</v>
      </c>
      <c r="C13" s="15">
        <v>0</v>
      </c>
    </row>
    <row r="14" spans="1:3" x14ac:dyDescent="0.25">
      <c r="A14" s="2"/>
      <c r="B14" s="2" t="s">
        <v>315</v>
      </c>
      <c r="C14" s="15">
        <v>0</v>
      </c>
    </row>
    <row r="15" spans="1:3" x14ac:dyDescent="0.25">
      <c r="A15" s="2"/>
      <c r="B15" s="2" t="s">
        <v>39</v>
      </c>
      <c r="C15" s="15">
        <v>0</v>
      </c>
    </row>
    <row r="16" spans="1:3" x14ac:dyDescent="0.25">
      <c r="A16" s="2"/>
      <c r="B16" s="2" t="s">
        <v>49</v>
      </c>
      <c r="C16" s="15">
        <v>0</v>
      </c>
    </row>
    <row r="17" spans="1:3" x14ac:dyDescent="0.25">
      <c r="A17" s="2"/>
      <c r="B17" s="2" t="s">
        <v>54</v>
      </c>
      <c r="C17" s="15">
        <v>0</v>
      </c>
    </row>
    <row r="18" spans="1:3" x14ac:dyDescent="0.25">
      <c r="A18" s="2"/>
      <c r="B18" s="2" t="s">
        <v>318</v>
      </c>
      <c r="C18" s="15">
        <v>0</v>
      </c>
    </row>
    <row r="19" spans="1:3" x14ac:dyDescent="0.25">
      <c r="A19" s="2"/>
      <c r="B19" s="2" t="s">
        <v>343</v>
      </c>
      <c r="C19" s="15">
        <v>0</v>
      </c>
    </row>
    <row r="20" spans="1:3" x14ac:dyDescent="0.25">
      <c r="A20" s="2"/>
      <c r="B20" s="2" t="s">
        <v>353</v>
      </c>
      <c r="C20" s="15">
        <v>0</v>
      </c>
    </row>
    <row r="21" spans="1:3" x14ac:dyDescent="0.25">
      <c r="A21" s="2"/>
      <c r="B21" s="2" t="s">
        <v>344</v>
      </c>
      <c r="C21" s="15">
        <v>0</v>
      </c>
    </row>
    <row r="22" spans="1:3" x14ac:dyDescent="0.25">
      <c r="A22" s="2"/>
      <c r="B22" s="2" t="s">
        <v>345</v>
      </c>
      <c r="C22" s="15">
        <v>0</v>
      </c>
    </row>
    <row r="23" spans="1:3" x14ac:dyDescent="0.25">
      <c r="A23" s="2"/>
      <c r="B23" s="2" t="s">
        <v>347</v>
      </c>
      <c r="C23" s="15">
        <v>0</v>
      </c>
    </row>
    <row r="24" spans="1:3" x14ac:dyDescent="0.25">
      <c r="A24" s="2"/>
      <c r="B24" s="2" t="s">
        <v>369</v>
      </c>
      <c r="C24" s="15">
        <v>0</v>
      </c>
    </row>
    <row r="25" spans="1:3" x14ac:dyDescent="0.25">
      <c r="A25" s="2"/>
      <c r="B25" s="2" t="s">
        <v>383</v>
      </c>
      <c r="C25" s="15">
        <v>0</v>
      </c>
    </row>
    <row r="26" spans="1:3" x14ac:dyDescent="0.25">
      <c r="A26" s="2"/>
      <c r="B26" s="2" t="s">
        <v>384</v>
      </c>
      <c r="C26" s="15">
        <v>0</v>
      </c>
    </row>
    <row r="27" spans="1:3" x14ac:dyDescent="0.25">
      <c r="A27" s="2"/>
      <c r="B27" s="2" t="s">
        <v>316</v>
      </c>
      <c r="C27" s="15">
        <v>0</v>
      </c>
    </row>
    <row r="28" spans="1:3" x14ac:dyDescent="0.25">
      <c r="A28" s="2"/>
    </row>
    <row r="29" spans="1:3" x14ac:dyDescent="0.25">
      <c r="A29" s="2"/>
    </row>
    <row r="30" spans="1:3" x14ac:dyDescent="0.25">
      <c r="A30" s="2"/>
    </row>
    <row r="31" spans="1:3" x14ac:dyDescent="0.25">
      <c r="A31" s="2"/>
    </row>
    <row r="32" spans="1:3" x14ac:dyDescent="0.25">
      <c r="A32" s="2"/>
    </row>
    <row r="33" spans="1:6" x14ac:dyDescent="0.25">
      <c r="A33" s="2"/>
    </row>
    <row r="34" spans="1:6" x14ac:dyDescent="0.25">
      <c r="A34" s="2"/>
    </row>
    <row r="35" spans="1:6" x14ac:dyDescent="0.25">
      <c r="A35" s="2"/>
    </row>
    <row r="36" spans="1:6" x14ac:dyDescent="0.25">
      <c r="A36" s="2"/>
    </row>
    <row r="37" spans="1:6" x14ac:dyDescent="0.25">
      <c r="A37" s="2"/>
    </row>
    <row r="38" spans="1:6" x14ac:dyDescent="0.25">
      <c r="A38" s="2"/>
    </row>
    <row r="39" spans="1:6" x14ac:dyDescent="0.25">
      <c r="A39" s="2"/>
    </row>
    <row r="40" spans="1:6" x14ac:dyDescent="0.25">
      <c r="A40" s="2"/>
    </row>
    <row r="41" spans="1:6" x14ac:dyDescent="0.25">
      <c r="A41" s="2"/>
      <c r="E41" s="17" t="s">
        <v>27</v>
      </c>
      <c r="F41" s="17" t="s">
        <v>21</v>
      </c>
    </row>
    <row r="42" spans="1:6" x14ac:dyDescent="0.25">
      <c r="A42" s="2"/>
      <c r="B42" s="17" t="s">
        <v>22</v>
      </c>
      <c r="E42" t="s">
        <v>349</v>
      </c>
      <c r="F42" s="2" t="s">
        <v>48</v>
      </c>
    </row>
    <row r="43" spans="1:6" x14ac:dyDescent="0.25">
      <c r="A43" s="2"/>
      <c r="B43" t="s">
        <v>43</v>
      </c>
      <c r="E43" t="s">
        <v>350</v>
      </c>
      <c r="F43" s="2" t="s">
        <v>42</v>
      </c>
    </row>
    <row r="44" spans="1:6" x14ac:dyDescent="0.25">
      <c r="A44" s="2"/>
      <c r="B44" t="s">
        <v>343</v>
      </c>
      <c r="E44" t="s">
        <v>351</v>
      </c>
      <c r="F44" s="2" t="s">
        <v>36</v>
      </c>
    </row>
    <row r="45" spans="1:6" x14ac:dyDescent="0.25">
      <c r="A45" s="2"/>
      <c r="B45" t="s">
        <v>40</v>
      </c>
      <c r="E45" t="s">
        <v>480</v>
      </c>
      <c r="F45" s="2" t="s">
        <v>352</v>
      </c>
    </row>
    <row r="46" spans="1:6" x14ac:dyDescent="0.25">
      <c r="A46" s="2"/>
      <c r="B46" t="s">
        <v>47</v>
      </c>
      <c r="F46" s="2" t="s">
        <v>35</v>
      </c>
    </row>
    <row r="47" spans="1:6" x14ac:dyDescent="0.25">
      <c r="A47" s="2"/>
      <c r="B47" t="s">
        <v>320</v>
      </c>
      <c r="F47" s="2" t="s">
        <v>44</v>
      </c>
    </row>
    <row r="48" spans="1:6" x14ac:dyDescent="0.25">
      <c r="A48" s="2"/>
      <c r="B48" t="s">
        <v>321</v>
      </c>
      <c r="F48" s="2" t="s">
        <v>354</v>
      </c>
    </row>
    <row r="49" spans="1:6" x14ac:dyDescent="0.25">
      <c r="A49" s="2"/>
      <c r="B49" t="s">
        <v>322</v>
      </c>
      <c r="F49" s="2" t="s">
        <v>479</v>
      </c>
    </row>
    <row r="50" spans="1:6" x14ac:dyDescent="0.25">
      <c r="B50" t="s">
        <v>45</v>
      </c>
    </row>
    <row r="51" spans="1:6" x14ac:dyDescent="0.25">
      <c r="B51" t="s">
        <v>344</v>
      </c>
    </row>
    <row r="52" spans="1:6" x14ac:dyDescent="0.25">
      <c r="B52" t="s">
        <v>55</v>
      </c>
    </row>
    <row r="53" spans="1:6" x14ac:dyDescent="0.25">
      <c r="B53" t="s">
        <v>353</v>
      </c>
    </row>
    <row r="54" spans="1:6" x14ac:dyDescent="0.25">
      <c r="B54" t="s">
        <v>41</v>
      </c>
    </row>
    <row r="55" spans="1:6" x14ac:dyDescent="0.25">
      <c r="B55" t="s">
        <v>46</v>
      </c>
    </row>
    <row r="56" spans="1:6" x14ac:dyDescent="0.25">
      <c r="B56" t="s">
        <v>50</v>
      </c>
    </row>
    <row r="57" spans="1:6" x14ac:dyDescent="0.25">
      <c r="B57" t="s">
        <v>345</v>
      </c>
    </row>
    <row r="58" spans="1:6" x14ac:dyDescent="0.25">
      <c r="B58" t="s">
        <v>51</v>
      </c>
    </row>
    <row r="59" spans="1:6" x14ac:dyDescent="0.25">
      <c r="B59" t="s">
        <v>346</v>
      </c>
    </row>
    <row r="60" spans="1:6" x14ac:dyDescent="0.25">
      <c r="B60" t="s">
        <v>39</v>
      </c>
    </row>
    <row r="61" spans="1:6" x14ac:dyDescent="0.25">
      <c r="B61" t="s">
        <v>347</v>
      </c>
    </row>
    <row r="62" spans="1:6" x14ac:dyDescent="0.25">
      <c r="B62" t="s">
        <v>49</v>
      </c>
    </row>
    <row r="63" spans="1:6" x14ac:dyDescent="0.25">
      <c r="B63" t="s">
        <v>54</v>
      </c>
    </row>
    <row r="64" spans="1:6" x14ac:dyDescent="0.25">
      <c r="B64" t="s">
        <v>317</v>
      </c>
    </row>
    <row r="65" spans="2:2" x14ac:dyDescent="0.25">
      <c r="B65" t="s">
        <v>36</v>
      </c>
    </row>
    <row r="66" spans="2:2" x14ac:dyDescent="0.25">
      <c r="B66" t="s">
        <v>348</v>
      </c>
    </row>
    <row r="67" spans="2:2" x14ac:dyDescent="0.25">
      <c r="B67" t="s">
        <v>47</v>
      </c>
    </row>
    <row r="68" spans="2:2" x14ac:dyDescent="0.25">
      <c r="B68" t="s">
        <v>52</v>
      </c>
    </row>
    <row r="69" spans="2:2" x14ac:dyDescent="0.25">
      <c r="B69" t="s">
        <v>369</v>
      </c>
    </row>
    <row r="70" spans="2:2" x14ac:dyDescent="0.25">
      <c r="B70" t="s">
        <v>383</v>
      </c>
    </row>
    <row r="71" spans="2:2" x14ac:dyDescent="0.25">
      <c r="B71" t="s">
        <v>384</v>
      </c>
    </row>
    <row r="74" spans="2:2" x14ac:dyDescent="0.25">
      <c r="B74" s="17" t="s">
        <v>408</v>
      </c>
    </row>
    <row r="75" spans="2:2" x14ac:dyDescent="0.25">
      <c r="B75" t="s">
        <v>43</v>
      </c>
    </row>
    <row r="76" spans="2:2" x14ac:dyDescent="0.25">
      <c r="B76" t="s">
        <v>409</v>
      </c>
    </row>
    <row r="77" spans="2:2" x14ac:dyDescent="0.25">
      <c r="B77" t="s">
        <v>410</v>
      </c>
    </row>
    <row r="78" spans="2:2" x14ac:dyDescent="0.25">
      <c r="B78" t="s">
        <v>411</v>
      </c>
    </row>
    <row r="79" spans="2:2" x14ac:dyDescent="0.25">
      <c r="B79" t="s">
        <v>412</v>
      </c>
    </row>
    <row r="80" spans="2:2" x14ac:dyDescent="0.25">
      <c r="B80" t="s">
        <v>413</v>
      </c>
    </row>
    <row r="81" spans="2:2" x14ac:dyDescent="0.25">
      <c r="B81" t="s">
        <v>414</v>
      </c>
    </row>
    <row r="82" spans="2:2" x14ac:dyDescent="0.25">
      <c r="B82" t="s">
        <v>415</v>
      </c>
    </row>
    <row r="83" spans="2:2" x14ac:dyDescent="0.25">
      <c r="B83" t="s">
        <v>326</v>
      </c>
    </row>
    <row r="84" spans="2:2" x14ac:dyDescent="0.25">
      <c r="B84" t="s">
        <v>416</v>
      </c>
    </row>
    <row r="85" spans="2:2" x14ac:dyDescent="0.25">
      <c r="B85" t="s">
        <v>417</v>
      </c>
    </row>
    <row r="86" spans="2:2" x14ac:dyDescent="0.25">
      <c r="B86" t="s">
        <v>418</v>
      </c>
    </row>
    <row r="87" spans="2:2" x14ac:dyDescent="0.25">
      <c r="B87" t="s">
        <v>419</v>
      </c>
    </row>
    <row r="94" spans="2:2" x14ac:dyDescent="0.25">
      <c r="B94" t="s">
        <v>424</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E213806758A8A4B8F753A09FD87E92B" ma:contentTypeVersion="14" ma:contentTypeDescription="Crear nuevo documento." ma:contentTypeScope="" ma:versionID="f4ef9065926f206bdd6e131a8ce76b61">
  <xsd:schema xmlns:xsd="http://www.w3.org/2001/XMLSchema" xmlns:xs="http://www.w3.org/2001/XMLSchema" xmlns:p="http://schemas.microsoft.com/office/2006/metadata/properties" xmlns:ns3="cac8877d-3628-49af-97bb-9620c9781141" xmlns:ns4="664f5d8c-8972-4f6f-9091-87696e86e2be" targetNamespace="http://schemas.microsoft.com/office/2006/metadata/properties" ma:root="true" ma:fieldsID="0fbb55b0fa568ccfd44d2801698c8a42" ns3:_="" ns4:_="">
    <xsd:import namespace="cac8877d-3628-49af-97bb-9620c9781141"/>
    <xsd:import namespace="664f5d8c-8972-4f6f-9091-87696e86e2b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8877d-3628-49af-97bb-9620c97811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64f5d8c-8972-4f6f-9091-87696e86e2b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C34DC2-5748-409B-8604-AE0A65B10CE7}">
  <ds:schemaRefs>
    <ds:schemaRef ds:uri="http://schemas.microsoft.com/sharepoint/v3/contenttype/forms"/>
  </ds:schemaRefs>
</ds:datastoreItem>
</file>

<file path=customXml/itemProps2.xml><?xml version="1.0" encoding="utf-8"?>
<ds:datastoreItem xmlns:ds="http://schemas.openxmlformats.org/officeDocument/2006/customXml" ds:itemID="{23F61D46-77E9-47B2-BD1A-A9EC0C92B3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c8877d-3628-49af-97bb-9620c9781141"/>
    <ds:schemaRef ds:uri="664f5d8c-8972-4f6f-9091-87696e86e2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9A03B1-5E7F-42BF-80CF-CE4504DE2A69}">
  <ds:schemaRefs>
    <ds:schemaRef ds:uri="http://purl.org/dc/terms/"/>
    <ds:schemaRef ds:uri="http://schemas.microsoft.com/office/2006/documentManagement/types"/>
    <ds:schemaRef ds:uri="http://schemas.microsoft.com/office/2006/metadata/properties"/>
    <ds:schemaRef ds:uri="http://purl.org/dc/dcmitype/"/>
    <ds:schemaRef ds:uri="http://www.w3.org/XML/1998/namespace"/>
    <ds:schemaRef ds:uri="http://schemas.openxmlformats.org/package/2006/metadata/core-properties"/>
    <ds:schemaRef ds:uri="http://purl.org/dc/elements/1.1/"/>
    <ds:schemaRef ds:uri="http://schemas.microsoft.com/office/infopath/2007/PartnerControls"/>
    <ds:schemaRef ds:uri="664f5d8c-8972-4f6f-9091-87696e86e2be"/>
    <ds:schemaRef ds:uri="cac8877d-3628-49af-97bb-9620c97811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DASHBOARD</vt:lpstr>
      <vt:lpstr>planeado inicial</vt:lpstr>
      <vt:lpstr>PLAN CAP</vt:lpstr>
      <vt:lpstr>m1</vt:lpstr>
      <vt:lpstr>VALD</vt:lpstr>
      <vt:lpstr>VALID_2</vt:lpstr>
      <vt:lpstr>DASHBOARD!Área_de_impresión</vt:lpstr>
      <vt:lpstr>'PLAN CAP'!Área_de_impresión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dc:creator>
  <cp:keywords/>
  <dc:description/>
  <cp:lastModifiedBy>Dir HSE Linda Amaya</cp:lastModifiedBy>
  <cp:revision/>
  <cp:lastPrinted>2024-08-28T21:51:05Z</cp:lastPrinted>
  <dcterms:created xsi:type="dcterms:W3CDTF">2018-10-26T19:50:20Z</dcterms:created>
  <dcterms:modified xsi:type="dcterms:W3CDTF">2026-01-09T17:03:55Z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0x0101001E213806758A8A4B8F753A09FD87E92B</vt:lpwstr>
  </property>
</Properties>
</file>